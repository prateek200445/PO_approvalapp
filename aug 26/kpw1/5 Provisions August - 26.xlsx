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Krishna Ma'am\Provision\"/>
    </mc:Choice>
  </mc:AlternateContent>
  <xr:revisionPtr revIDLastSave="0" documentId="13_ncr:1_{7BE36660-86CE-415F-BF3D-4A139503B8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gust- 26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F9" i="5"/>
  <c r="C6" i="4"/>
  <c r="C8" i="4" l="1"/>
  <c r="F29" i="5"/>
  <c r="C22" i="4" s="1"/>
  <c r="F48" i="5"/>
  <c r="F55" i="5"/>
  <c r="C25" i="4" s="1"/>
  <c r="F101" i="5"/>
  <c r="C13" i="4" s="1"/>
  <c r="F36" i="5" l="1"/>
  <c r="C21" i="4" s="1"/>
  <c r="F109" i="5"/>
  <c r="C24" i="4"/>
  <c r="C10" i="4"/>
  <c r="F59" i="5"/>
  <c r="C23" i="4" s="1"/>
  <c r="C28" i="4" l="1"/>
</calcChain>
</file>

<file path=xl/sharedStrings.xml><?xml version="1.0" encoding="utf-8"?>
<sst xmlns="http://schemas.openxmlformats.org/spreadsheetml/2006/main" count="298" uniqueCount="157">
  <si>
    <t>Salaries Expense</t>
  </si>
  <si>
    <t>Canteen Expense - Factory</t>
  </si>
  <si>
    <t>Power Expense</t>
  </si>
  <si>
    <t>Labour Charges</t>
  </si>
  <si>
    <t>Water Charges</t>
  </si>
  <si>
    <t>Security Expenses</t>
  </si>
  <si>
    <t>Vehicle Hire Charges - RCM</t>
  </si>
  <si>
    <t>Vehicle Hire Charges - With Gst</t>
  </si>
  <si>
    <t>Loading &amp; Unloading Expense</t>
  </si>
  <si>
    <t>Freight Outward Expense (WITH GST)</t>
  </si>
  <si>
    <t>C &amp; F  Charges - Export</t>
  </si>
  <si>
    <t>Factory Expense</t>
  </si>
  <si>
    <t>House Keeping Expense</t>
  </si>
  <si>
    <t>Medical Expense</t>
  </si>
  <si>
    <t>Xerox Expense</t>
  </si>
  <si>
    <t>Salary &amp; Wages Payable</t>
  </si>
  <si>
    <t>Freight Outward Expense (RCM)</t>
  </si>
  <si>
    <t>job charges</t>
  </si>
  <si>
    <t xml:space="preserve">Repairs &amp; Maintenance Exp - </t>
  </si>
  <si>
    <t>Fumigation Charges</t>
  </si>
  <si>
    <t>Equipment Certification Charges</t>
  </si>
  <si>
    <t>Professional &amp; Consultancy Fees</t>
  </si>
  <si>
    <t>Rent Expense - Colony</t>
  </si>
  <si>
    <t>Sonusingh Sengar</t>
  </si>
  <si>
    <t>PartyName</t>
  </si>
  <si>
    <t>PurchaseCategory</t>
  </si>
  <si>
    <t>PurchaseCode</t>
  </si>
  <si>
    <t>Referenceno</t>
  </si>
  <si>
    <t>TotalAmount</t>
  </si>
  <si>
    <t>SERVICES</t>
  </si>
  <si>
    <t>Urban Junggle Privet Limited</t>
  </si>
  <si>
    <t>medical exp</t>
  </si>
  <si>
    <t>EXP. HEAD</t>
  </si>
  <si>
    <t>Amount (INR)</t>
  </si>
  <si>
    <t>TOTAL AMOUNT (INR)</t>
  </si>
  <si>
    <t>Dwarkesh Refrigeration And Electrical</t>
  </si>
  <si>
    <t>Svan Texcon Pvt Ltd</t>
  </si>
  <si>
    <t>PROVISIONS FOR THE MONTH OF AUGUST 2026</t>
  </si>
  <si>
    <t>20 Lakh Approx as per Bharat bhai Solanki</t>
  </si>
  <si>
    <t>5 Lakh Approx as per Bharat bhai Solanki</t>
  </si>
  <si>
    <t>Kayel Syntex Limited</t>
  </si>
  <si>
    <t>KPV/SER/26-27/1115</t>
  </si>
  <si>
    <t>Q1218</t>
  </si>
  <si>
    <t>Sarswati Precision- Crediter</t>
  </si>
  <si>
    <t>KPV/SER/26-27/1125</t>
  </si>
  <si>
    <t>SP/26-27/0031</t>
  </si>
  <si>
    <t>KPV/SER/26-27/1127</t>
  </si>
  <si>
    <t>SP/26-27/0030</t>
  </si>
  <si>
    <t>KPV/SER/26-27/1215</t>
  </si>
  <si>
    <t>SP/26-27/0029</t>
  </si>
  <si>
    <t>KPV/SER/26-27/1216</t>
  </si>
  <si>
    <t>SP/26-27/0028</t>
  </si>
  <si>
    <t>KPV/SER/26-27/1217</t>
  </si>
  <si>
    <t>Q-1269</t>
  </si>
  <si>
    <t>Vajabhai Nagjibhai Gohel</t>
  </si>
  <si>
    <t>KPV/SER/26-27/1201</t>
  </si>
  <si>
    <t>KPV/SER/26-27/960</t>
  </si>
  <si>
    <t>DRE/KPW/03/26-27</t>
  </si>
  <si>
    <t>Hema Electricals Service</t>
  </si>
  <si>
    <t>KPV/SER/26-27/961</t>
  </si>
  <si>
    <t>NAVIN SIR</t>
  </si>
  <si>
    <t>KPV/SER/26-27/1063</t>
  </si>
  <si>
    <t>Pranam Hvac Engineering Pvt Ltd</t>
  </si>
  <si>
    <t>KPV/SER/26-27/1096</t>
  </si>
  <si>
    <t>311/26-27</t>
  </si>
  <si>
    <t>KPV/SER/26-27/1098</t>
  </si>
  <si>
    <t>S-0469/2026-27</t>
  </si>
  <si>
    <t>KPV/SER/26-27/1099</t>
  </si>
  <si>
    <t>S-0374/2026-27</t>
  </si>
  <si>
    <t>Standard Gasshield Private Limited</t>
  </si>
  <si>
    <t>KPV/SER/26-27/1111</t>
  </si>
  <si>
    <t>201/26-27</t>
  </si>
  <si>
    <t>Soveer Shivram Singh</t>
  </si>
  <si>
    <t>KPV/SER/26-27/1146</t>
  </si>
  <si>
    <t>Gopi Logistics</t>
  </si>
  <si>
    <t>KPV/SER/26-27/1150</t>
  </si>
  <si>
    <t>GL-1469</t>
  </si>
  <si>
    <t>Urvashi Logistics</t>
  </si>
  <si>
    <t>KPV/SER/26-27/1151</t>
  </si>
  <si>
    <t>UL/EXP/2627/966</t>
  </si>
  <si>
    <t>KPV/SER/26-27/1152</t>
  </si>
  <si>
    <t>GL-1519</t>
  </si>
  <si>
    <t>KPV/SER/26-27/1153</t>
  </si>
  <si>
    <t>UL/EXP/2627/1016</t>
  </si>
  <si>
    <t>KPV/SER/26-27/1154</t>
  </si>
  <si>
    <t>GL-1540</t>
  </si>
  <si>
    <t>KPV/SER/26-27/1155</t>
  </si>
  <si>
    <t>UL/EXP/2627/1117</t>
  </si>
  <si>
    <t>KPV/SER/26-27/1156</t>
  </si>
  <si>
    <t>GL-1541</t>
  </si>
  <si>
    <t>KPV/SER/26-27/1157</t>
  </si>
  <si>
    <t>UL/EXP/2627/1118</t>
  </si>
  <si>
    <t>KPV/SER/26-27/1158</t>
  </si>
  <si>
    <t>GL-1583</t>
  </si>
  <si>
    <t>KPV/SER/26-27/1159</t>
  </si>
  <si>
    <t>UL/EXP/2627/1123</t>
  </si>
  <si>
    <t>KPV/SER/26-27/1160</t>
  </si>
  <si>
    <t>GL-1557</t>
  </si>
  <si>
    <t>KPV/SER/26-27/1161</t>
  </si>
  <si>
    <t>UL/EXP/2627/1122</t>
  </si>
  <si>
    <t>KPV/SER/26-27/1162</t>
  </si>
  <si>
    <t>UL/EXP/2627/1128</t>
  </si>
  <si>
    <t>KPV/SER/26-27/1163</t>
  </si>
  <si>
    <t>GL-1598</t>
  </si>
  <si>
    <t>KPV/SER/26-27/1164</t>
  </si>
  <si>
    <t>UL/EXP/2627/1127</t>
  </si>
  <si>
    <t>Parker Shipping</t>
  </si>
  <si>
    <t>KPV/SER/26-27/1165</t>
  </si>
  <si>
    <t>503/26-27</t>
  </si>
  <si>
    <t>KPV/SER/26-27/1166</t>
  </si>
  <si>
    <t>385/26-27</t>
  </si>
  <si>
    <t>KPV/SER/26-27/1167</t>
  </si>
  <si>
    <t>308/26-27</t>
  </si>
  <si>
    <t>Cargotrans Maritime Limited (earlier known as Cargotrans Maritime Private Limited)</t>
  </si>
  <si>
    <t>KPV/SER/26-27/1168</t>
  </si>
  <si>
    <t>CML2627EC-1777</t>
  </si>
  <si>
    <t>P J Cargo Movers</t>
  </si>
  <si>
    <t>KPV/SER/26-27/1169</t>
  </si>
  <si>
    <t>PJC/2026-27/0090</t>
  </si>
  <si>
    <t>B.K. Roadways</t>
  </si>
  <si>
    <t>KPV/SER/26-27/1182</t>
  </si>
  <si>
    <t>BK/26-27/2215</t>
  </si>
  <si>
    <t>Shreena Roadways</t>
  </si>
  <si>
    <t>KPV/SER/26-27/1183</t>
  </si>
  <si>
    <t>KPV/SER/26-27/1189</t>
  </si>
  <si>
    <t>492/26-27</t>
  </si>
  <si>
    <t>KPV/SER/26-27/1190</t>
  </si>
  <si>
    <t>479/26-27</t>
  </si>
  <si>
    <t>KPV/SER/26-27/1191</t>
  </si>
  <si>
    <t>490/26-27</t>
  </si>
  <si>
    <t>KPV/SER/26-27/1192</t>
  </si>
  <si>
    <t>484/26-27</t>
  </si>
  <si>
    <t>KPV/SER/26-27/1193</t>
  </si>
  <si>
    <t>466/26-27</t>
  </si>
  <si>
    <t>KPV/SER/26-27/1194</t>
  </si>
  <si>
    <t>445/26-27</t>
  </si>
  <si>
    <t>KPV/SER/26-27/1195</t>
  </si>
  <si>
    <t>432/26-27</t>
  </si>
  <si>
    <t>KPV/SER/26-27/1196</t>
  </si>
  <si>
    <t>416/26-27</t>
  </si>
  <si>
    <t>KPV/SER/26-27/1197</t>
  </si>
  <si>
    <t>430/26-27</t>
  </si>
  <si>
    <t>KPV/SER/26-27/1198</t>
  </si>
  <si>
    <t>457/26-27</t>
  </si>
  <si>
    <t>KPV/SER/26-27/1199</t>
  </si>
  <si>
    <t>516/26-27</t>
  </si>
  <si>
    <t>Arunkumar Shrikant Singh</t>
  </si>
  <si>
    <t>KPV/SER/26-27/1207</t>
  </si>
  <si>
    <t>Indralok Fabrics Pvt Ltd - Purchase</t>
  </si>
  <si>
    <t>KPV/SER/26-27/1214</t>
  </si>
  <si>
    <t>IFPL/J20/26-27</t>
  </si>
  <si>
    <t>JPCO</t>
  </si>
  <si>
    <t>1050000 solar Invoice pending Approx taken</t>
  </si>
  <si>
    <t>50000 Approx Power Consulting fees Invoice pending</t>
  </si>
  <si>
    <t>P S DUBEY</t>
  </si>
  <si>
    <t>Approx.</t>
  </si>
  <si>
    <t>P.S. Dubey - Confirm by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</si>
</sst>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43" fontId="7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0" fillId="0" borderId="0" xfId="2" applyFont="1"/>
    <xf numFmtId="16" fontId="4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2" applyNumberFormat="1" applyFont="1" applyBorder="1"/>
    <xf numFmtId="164" fontId="9" fillId="0" borderId="1" xfId="2" applyNumberFormat="1" applyFont="1" applyBorder="1"/>
    <xf numFmtId="0" fontId="6" fillId="0" borderId="1" xfId="0" applyFont="1" applyBorder="1"/>
    <xf numFmtId="0" fontId="10" fillId="0" borderId="1" xfId="0" applyFont="1" applyBorder="1"/>
    <xf numFmtId="0" fontId="7" fillId="0" borderId="0" xfId="0" applyFont="1"/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1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/>
    <xf numFmtId="4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 wrapText="1"/>
    </xf>
    <xf numFmtId="4" fontId="9" fillId="0" borderId="0" xfId="0" applyNumberFormat="1" applyFont="1"/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164" fontId="0" fillId="0" borderId="1" xfId="2" applyNumberFormat="1" applyFont="1" applyFill="1" applyBorder="1" applyAlignment="1">
      <alignment horizontal="right"/>
    </xf>
    <xf numFmtId="0" fontId="11" fillId="2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Normal 1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tabSelected="1" zoomScale="90" zoomScaleNormal="90" workbookViewId="0">
      <pane ySplit="3" topLeftCell="A4" activePane="bottomLeft" state="frozen"/>
      <selection pane="bottomLeft" activeCell="H9" sqref="H9"/>
    </sheetView>
  </sheetViews>
  <sheetFormatPr defaultColWidth="9" defaultRowHeight="14.5"/>
  <cols>
    <col min="2" max="2" width="33.6328125" customWidth="1"/>
    <col min="3" max="3" width="14.453125" customWidth="1"/>
    <col min="4" max="4" width="12" customWidth="1"/>
    <col min="5" max="5" width="9.453125" bestFit="1" customWidth="1"/>
    <col min="7" max="7" width="12.54296875" bestFit="1" customWidth="1"/>
  </cols>
  <sheetData>
    <row r="1" spans="2:5">
      <c r="B1" s="53" t="s">
        <v>37</v>
      </c>
      <c r="C1" s="53"/>
    </row>
    <row r="3" spans="2:5" s="21" customFormat="1">
      <c r="B3" s="22" t="s">
        <v>32</v>
      </c>
      <c r="C3" s="22" t="s">
        <v>33</v>
      </c>
      <c r="E3" s="47"/>
    </row>
    <row r="4" spans="2:5">
      <c r="B4" s="26" t="s">
        <v>0</v>
      </c>
      <c r="C4" s="52">
        <v>20000</v>
      </c>
    </row>
    <row r="5" spans="2:5">
      <c r="B5" s="26" t="s">
        <v>1</v>
      </c>
      <c r="C5" s="43">
        <v>376290</v>
      </c>
    </row>
    <row r="6" spans="2:5">
      <c r="B6" s="26" t="s">
        <v>2</v>
      </c>
      <c r="C6" s="43">
        <f>4215121+105000</f>
        <v>4320121</v>
      </c>
      <c r="E6" t="s">
        <v>152</v>
      </c>
    </row>
    <row r="7" spans="2:5">
      <c r="B7" s="26" t="s">
        <v>3</v>
      </c>
      <c r="C7" s="43">
        <f>6727568+Sheet1!F9</f>
        <v>8112264</v>
      </c>
      <c r="E7" t="s">
        <v>156</v>
      </c>
    </row>
    <row r="8" spans="2:5">
      <c r="B8" s="26" t="s">
        <v>4</v>
      </c>
      <c r="C8" s="43">
        <f>87425+6680</f>
        <v>94105</v>
      </c>
    </row>
    <row r="9" spans="2:5">
      <c r="B9" s="26" t="s">
        <v>5</v>
      </c>
      <c r="C9" s="48">
        <v>415483</v>
      </c>
    </row>
    <row r="10" spans="2:5">
      <c r="B10" s="26" t="s">
        <v>6</v>
      </c>
      <c r="C10" s="43">
        <f>37000+38500</f>
        <v>75500</v>
      </c>
    </row>
    <row r="11" spans="2:5">
      <c r="B11" s="26" t="s">
        <v>7</v>
      </c>
      <c r="C11" s="43">
        <v>160000</v>
      </c>
    </row>
    <row r="12" spans="2:5">
      <c r="B12" s="26" t="s">
        <v>8</v>
      </c>
      <c r="C12" s="43">
        <v>0</v>
      </c>
    </row>
    <row r="13" spans="2:5">
      <c r="B13" s="26" t="s">
        <v>9</v>
      </c>
      <c r="C13" s="44">
        <f>Sheet1!F101+2000000</f>
        <v>3236167</v>
      </c>
      <c r="E13" t="s">
        <v>38</v>
      </c>
    </row>
    <row r="14" spans="2:5">
      <c r="B14" s="26" t="s">
        <v>10</v>
      </c>
      <c r="C14" s="44">
        <v>419308</v>
      </c>
    </row>
    <row r="15" spans="2:5">
      <c r="B15" s="23" t="s">
        <v>11</v>
      </c>
      <c r="C15" s="43">
        <v>5000</v>
      </c>
    </row>
    <row r="16" spans="2:5">
      <c r="B16" s="23" t="s">
        <v>12</v>
      </c>
      <c r="C16" s="43">
        <v>554014</v>
      </c>
    </row>
    <row r="17" spans="2:7">
      <c r="B17" s="23" t="s">
        <v>13</v>
      </c>
      <c r="C17" s="43">
        <v>34992</v>
      </c>
    </row>
    <row r="18" spans="2:7">
      <c r="B18" s="23" t="s">
        <v>14</v>
      </c>
      <c r="C18" s="43">
        <v>4500</v>
      </c>
    </row>
    <row r="19" spans="2:7">
      <c r="B19" s="23" t="s">
        <v>15</v>
      </c>
      <c r="C19" s="43">
        <v>21219669</v>
      </c>
    </row>
    <row r="20" spans="2:7">
      <c r="B20" s="34" t="s">
        <v>16</v>
      </c>
      <c r="C20" s="43">
        <v>500000</v>
      </c>
      <c r="E20" t="s">
        <v>39</v>
      </c>
    </row>
    <row r="21" spans="2:7">
      <c r="B21" s="26" t="s">
        <v>17</v>
      </c>
      <c r="C21" s="44">
        <f>Sheet1!F36</f>
        <v>207763</v>
      </c>
    </row>
    <row r="22" spans="2:7">
      <c r="B22" s="34" t="s">
        <v>18</v>
      </c>
      <c r="C22" s="43">
        <f>Sheet1!F29</f>
        <v>164138</v>
      </c>
      <c r="D22" s="1"/>
    </row>
    <row r="23" spans="2:7">
      <c r="B23" s="26" t="s">
        <v>19</v>
      </c>
      <c r="C23" s="43">
        <f>Sheet1!F59</f>
        <v>26550</v>
      </c>
      <c r="G23" s="19"/>
    </row>
    <row r="24" spans="2:7">
      <c r="B24" s="23" t="s">
        <v>20</v>
      </c>
      <c r="C24" s="43">
        <f>Sheet1!F48</f>
        <v>0</v>
      </c>
    </row>
    <row r="25" spans="2:7">
      <c r="B25" s="23" t="s">
        <v>21</v>
      </c>
      <c r="C25" s="43">
        <f>+Sheet1!F55+50000</f>
        <v>310000</v>
      </c>
      <c r="E25" t="s">
        <v>153</v>
      </c>
    </row>
    <row r="26" spans="2:7">
      <c r="B26" s="23" t="s">
        <v>22</v>
      </c>
      <c r="C26" s="43">
        <v>1321300</v>
      </c>
    </row>
    <row r="27" spans="2:7">
      <c r="B27" s="23"/>
      <c r="C27" s="24"/>
    </row>
    <row r="28" spans="2:7">
      <c r="B28" s="22" t="s">
        <v>34</v>
      </c>
      <c r="C28" s="25">
        <f>SUM(C4:C27)</f>
        <v>41577164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1"/>
  <sheetViews>
    <sheetView workbookViewId="0">
      <selection activeCell="B102" sqref="B102"/>
    </sheetView>
  </sheetViews>
  <sheetFormatPr defaultColWidth="9" defaultRowHeight="15" customHeight="1"/>
  <cols>
    <col min="1" max="1" width="32.90625" customWidth="1"/>
    <col min="2" max="2" width="31.1796875" style="1" customWidth="1"/>
    <col min="3" max="3" width="19.36328125" customWidth="1"/>
    <col min="4" max="4" width="21.54296875" customWidth="1"/>
    <col min="5" max="5" width="17" customWidth="1"/>
    <col min="6" max="6" width="18" customWidth="1"/>
  </cols>
  <sheetData>
    <row r="1" spans="1:9" ht="15" customHeight="1">
      <c r="B1" s="3"/>
      <c r="C1" s="2"/>
      <c r="D1" s="2"/>
    </row>
    <row r="2" spans="1:9" ht="15" customHeight="1">
      <c r="A2" s="34" t="s">
        <v>3</v>
      </c>
      <c r="B2" s="14" t="s">
        <v>24</v>
      </c>
      <c r="C2" s="14"/>
      <c r="D2" s="14"/>
      <c r="E2" s="14"/>
      <c r="F2" s="14" t="s">
        <v>28</v>
      </c>
    </row>
    <row r="3" spans="1:9" ht="15" customHeight="1">
      <c r="B3" s="28" t="s">
        <v>23</v>
      </c>
      <c r="C3" s="15"/>
      <c r="D3" s="15"/>
      <c r="E3" s="15"/>
      <c r="F3" s="36">
        <v>130809</v>
      </c>
    </row>
    <row r="4" spans="1:9" ht="15" customHeight="1">
      <c r="A4" s="45"/>
      <c r="B4" s="48" t="s">
        <v>54</v>
      </c>
      <c r="C4" s="48" t="s">
        <v>29</v>
      </c>
      <c r="D4" s="48" t="s">
        <v>55</v>
      </c>
      <c r="E4" s="49">
        <v>46260</v>
      </c>
      <c r="F4" s="48">
        <v>6200</v>
      </c>
    </row>
    <row r="5" spans="1:9" ht="15" customHeight="1">
      <c r="A5" s="46"/>
      <c r="B5" s="29" t="s">
        <v>72</v>
      </c>
      <c r="C5" s="29" t="s">
        <v>29</v>
      </c>
      <c r="D5" s="29" t="s">
        <v>73</v>
      </c>
      <c r="E5" s="50">
        <v>4</v>
      </c>
      <c r="F5" s="29">
        <v>214236</v>
      </c>
    </row>
    <row r="6" spans="1:9" ht="15" customHeight="1">
      <c r="A6" s="45"/>
      <c r="B6" s="29" t="s">
        <v>154</v>
      </c>
      <c r="C6" s="29"/>
      <c r="D6" s="29"/>
      <c r="E6" s="29"/>
      <c r="F6">
        <v>1033451</v>
      </c>
      <c r="G6" t="s">
        <v>155</v>
      </c>
    </row>
    <row r="7" spans="1:9" ht="15" customHeight="1">
      <c r="A7" s="45"/>
      <c r="B7" s="29"/>
      <c r="C7" s="29"/>
      <c r="D7" s="29"/>
      <c r="E7" s="29"/>
      <c r="F7" s="29"/>
    </row>
    <row r="8" spans="1:9" ht="15" customHeight="1">
      <c r="A8" s="45"/>
      <c r="B8" s="29"/>
      <c r="C8" s="29"/>
      <c r="D8" s="29"/>
      <c r="E8" s="29"/>
      <c r="F8" s="29"/>
    </row>
    <row r="9" spans="1:9" ht="15" customHeight="1">
      <c r="B9" s="8"/>
      <c r="C9" s="9"/>
      <c r="D9" s="9"/>
      <c r="E9" s="9"/>
      <c r="F9" s="13">
        <f>SUM(F3:F7)</f>
        <v>1384696</v>
      </c>
    </row>
    <row r="10" spans="1:9" ht="15" customHeight="1">
      <c r="B10" s="8"/>
      <c r="C10" s="9"/>
      <c r="D10" s="9"/>
      <c r="E10" s="9"/>
    </row>
    <row r="11" spans="1:9" ht="15" customHeight="1">
      <c r="A11" s="34" t="s">
        <v>31</v>
      </c>
      <c r="B11" s="16" t="s">
        <v>24</v>
      </c>
      <c r="C11" s="16" t="s">
        <v>25</v>
      </c>
      <c r="D11" s="16" t="s">
        <v>26</v>
      </c>
      <c r="E11" s="16" t="s">
        <v>27</v>
      </c>
      <c r="F11" s="16" t="s">
        <v>28</v>
      </c>
    </row>
    <row r="12" spans="1:9" ht="15" customHeight="1">
      <c r="B12" s="17"/>
      <c r="C12" s="17"/>
      <c r="D12" s="17"/>
      <c r="E12" s="17"/>
      <c r="F12" s="18"/>
    </row>
    <row r="13" spans="1:9" ht="15" customHeight="1">
      <c r="B13" s="36"/>
      <c r="C13" s="14"/>
      <c r="D13" s="10"/>
      <c r="F13" s="13"/>
    </row>
    <row r="14" spans="1:9" ht="15" customHeight="1">
      <c r="B14" s="35"/>
      <c r="D14" s="7"/>
      <c r="H14" s="14"/>
      <c r="I14" s="14"/>
    </row>
    <row r="15" spans="1:9" ht="15" customHeight="1">
      <c r="A15" s="26" t="s">
        <v>18</v>
      </c>
      <c r="B15" s="11"/>
      <c r="C15" s="12"/>
      <c r="D15" s="12"/>
      <c r="E15" s="12"/>
      <c r="H15" s="46"/>
    </row>
    <row r="16" spans="1:9" ht="15" customHeight="1">
      <c r="B16" s="6"/>
      <c r="C16" s="7"/>
      <c r="D16" s="7"/>
      <c r="E16" s="7"/>
    </row>
    <row r="17" spans="1:6" ht="15" customHeight="1"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</row>
    <row r="18" spans="1:6" ht="15" customHeight="1">
      <c r="A18" s="45"/>
      <c r="B18" s="48" t="s">
        <v>43</v>
      </c>
      <c r="C18" s="48" t="s">
        <v>29</v>
      </c>
      <c r="D18" s="48" t="s">
        <v>44</v>
      </c>
      <c r="E18" s="49" t="s">
        <v>45</v>
      </c>
      <c r="F18" s="48">
        <v>2360</v>
      </c>
    </row>
    <row r="19" spans="1:6" ht="15" customHeight="1">
      <c r="A19" s="45"/>
      <c r="B19" s="48" t="s">
        <v>43</v>
      </c>
      <c r="C19" s="48" t="s">
        <v>29</v>
      </c>
      <c r="D19" s="48" t="s">
        <v>46</v>
      </c>
      <c r="E19" s="49" t="s">
        <v>47</v>
      </c>
      <c r="F19" s="48">
        <v>4130</v>
      </c>
    </row>
    <row r="20" spans="1:6" ht="15" customHeight="1">
      <c r="A20" s="45"/>
      <c r="B20" s="48" t="s">
        <v>43</v>
      </c>
      <c r="C20" s="48" t="s">
        <v>29</v>
      </c>
      <c r="D20" s="48" t="s">
        <v>48</v>
      </c>
      <c r="E20" s="49" t="s">
        <v>49</v>
      </c>
      <c r="F20" s="48">
        <v>9440</v>
      </c>
    </row>
    <row r="21" spans="1:6" ht="15" customHeight="1">
      <c r="A21" s="45"/>
      <c r="B21" s="48" t="s">
        <v>43</v>
      </c>
      <c r="C21" s="48" t="s">
        <v>29</v>
      </c>
      <c r="D21" s="48" t="s">
        <v>50</v>
      </c>
      <c r="E21" s="49" t="s">
        <v>51</v>
      </c>
      <c r="F21" s="48">
        <v>5428</v>
      </c>
    </row>
    <row r="22" spans="1:6" ht="15" customHeight="1">
      <c r="A22" s="45"/>
      <c r="B22" s="29" t="s">
        <v>35</v>
      </c>
      <c r="C22" s="29" t="s">
        <v>29</v>
      </c>
      <c r="D22" s="29" t="s">
        <v>56</v>
      </c>
      <c r="E22" s="29" t="s">
        <v>57</v>
      </c>
      <c r="F22" s="29">
        <v>92040</v>
      </c>
    </row>
    <row r="23" spans="1:6" ht="15" customHeight="1">
      <c r="A23" s="45"/>
      <c r="B23" s="29" t="s">
        <v>58</v>
      </c>
      <c r="C23" s="29" t="s">
        <v>29</v>
      </c>
      <c r="D23" s="29" t="s">
        <v>59</v>
      </c>
      <c r="E23" s="29" t="s">
        <v>60</v>
      </c>
      <c r="F23" s="29">
        <v>8260</v>
      </c>
    </row>
    <row r="24" spans="1:6" ht="15" customHeight="1">
      <c r="A24" s="5"/>
      <c r="B24" s="29" t="s">
        <v>58</v>
      </c>
      <c r="C24" s="29" t="s">
        <v>29</v>
      </c>
      <c r="D24" s="29" t="s">
        <v>61</v>
      </c>
      <c r="E24" s="29" t="s">
        <v>60</v>
      </c>
      <c r="F24" s="29">
        <v>25960</v>
      </c>
    </row>
    <row r="25" spans="1:6" ht="15" customHeight="1">
      <c r="A25" s="5"/>
      <c r="B25" s="29" t="s">
        <v>62</v>
      </c>
      <c r="C25" s="29" t="s">
        <v>29</v>
      </c>
      <c r="D25" s="29" t="s">
        <v>63</v>
      </c>
      <c r="E25" s="29" t="s">
        <v>64</v>
      </c>
      <c r="F25" s="29">
        <v>5393</v>
      </c>
    </row>
    <row r="26" spans="1:6" ht="15" customHeight="1">
      <c r="A26" s="5"/>
      <c r="B26" s="29" t="s">
        <v>36</v>
      </c>
      <c r="C26" s="29" t="s">
        <v>29</v>
      </c>
      <c r="D26" s="29" t="s">
        <v>65</v>
      </c>
      <c r="E26" s="29" t="s">
        <v>66</v>
      </c>
      <c r="F26" s="29">
        <v>3050</v>
      </c>
    </row>
    <row r="27" spans="1:6" ht="15" customHeight="1">
      <c r="A27" s="5"/>
      <c r="B27" s="29" t="s">
        <v>36</v>
      </c>
      <c r="C27" s="29" t="s">
        <v>29</v>
      </c>
      <c r="D27" s="29" t="s">
        <v>67</v>
      </c>
      <c r="E27" s="29" t="s">
        <v>68</v>
      </c>
      <c r="F27" s="29">
        <v>5410</v>
      </c>
    </row>
    <row r="28" spans="1:6" ht="15" customHeight="1">
      <c r="A28" s="45"/>
      <c r="B28" s="29" t="s">
        <v>69</v>
      </c>
      <c r="C28" s="29" t="s">
        <v>29</v>
      </c>
      <c r="D28" s="29" t="s">
        <v>70</v>
      </c>
      <c r="E28" s="29" t="s">
        <v>71</v>
      </c>
      <c r="F28" s="29">
        <v>2667</v>
      </c>
    </row>
    <row r="29" spans="1:6" ht="15" customHeight="1">
      <c r="A29" s="5"/>
      <c r="B29" s="17"/>
      <c r="C29" s="17"/>
      <c r="D29" s="17"/>
      <c r="E29" s="17"/>
      <c r="F29" s="13">
        <f>SUM(F18:F28)</f>
        <v>164138</v>
      </c>
    </row>
    <row r="30" spans="1:6" ht="15" customHeight="1">
      <c r="A30" s="5"/>
      <c r="B30" s="17"/>
      <c r="C30" s="17"/>
      <c r="D30" s="17"/>
      <c r="E30" s="17"/>
      <c r="F30" s="13"/>
    </row>
    <row r="31" spans="1:6" ht="15" customHeight="1">
      <c r="A31" s="34" t="s">
        <v>17</v>
      </c>
      <c r="B31" s="11"/>
      <c r="C31" s="12"/>
      <c r="D31" s="12"/>
      <c r="E31" s="12"/>
      <c r="F31" s="12"/>
    </row>
    <row r="32" spans="1:6" ht="15" customHeight="1">
      <c r="A32" s="2"/>
      <c r="B32" s="16" t="s">
        <v>24</v>
      </c>
      <c r="C32" s="16" t="s">
        <v>25</v>
      </c>
      <c r="D32" s="16" t="s">
        <v>26</v>
      </c>
      <c r="E32" s="16" t="s">
        <v>27</v>
      </c>
      <c r="F32" s="16" t="s">
        <v>28</v>
      </c>
    </row>
    <row r="33" spans="1:6" ht="15" customHeight="1">
      <c r="A33" s="35"/>
      <c r="B33" s="48" t="s">
        <v>40</v>
      </c>
      <c r="C33" s="48" t="s">
        <v>29</v>
      </c>
      <c r="D33" s="48" t="s">
        <v>41</v>
      </c>
      <c r="E33" s="49" t="s">
        <v>42</v>
      </c>
      <c r="F33" s="48">
        <v>69342</v>
      </c>
    </row>
    <row r="34" spans="1:6" ht="15" customHeight="1">
      <c r="A34" s="35"/>
      <c r="B34" s="48" t="s">
        <v>40</v>
      </c>
      <c r="C34" s="48" t="s">
        <v>29</v>
      </c>
      <c r="D34" s="48" t="s">
        <v>52</v>
      </c>
      <c r="E34" s="49" t="s">
        <v>53</v>
      </c>
      <c r="F34" s="48">
        <v>86468</v>
      </c>
    </row>
    <row r="35" spans="1:6" ht="15" customHeight="1">
      <c r="A35" s="45"/>
      <c r="B35" s="29" t="s">
        <v>148</v>
      </c>
      <c r="C35" s="29" t="s">
        <v>29</v>
      </c>
      <c r="D35" s="29" t="s">
        <v>149</v>
      </c>
      <c r="E35" s="29" t="s">
        <v>150</v>
      </c>
      <c r="F35" s="29">
        <v>51953</v>
      </c>
    </row>
    <row r="36" spans="1:6" ht="15" customHeight="1">
      <c r="B36" s="5"/>
      <c r="C36" s="5"/>
      <c r="D36" s="5"/>
      <c r="E36" s="5"/>
      <c r="F36" s="13">
        <f>SUM(F33:F35)</f>
        <v>207763</v>
      </c>
    </row>
    <row r="38" spans="1:6" ht="15" customHeight="1">
      <c r="A38" s="26" t="s">
        <v>4</v>
      </c>
      <c r="B38" s="16" t="s">
        <v>24</v>
      </c>
      <c r="C38" s="16" t="s">
        <v>25</v>
      </c>
      <c r="D38" s="16" t="s">
        <v>26</v>
      </c>
      <c r="E38" s="16" t="s">
        <v>27</v>
      </c>
      <c r="F38" s="16" t="s">
        <v>28</v>
      </c>
    </row>
    <row r="39" spans="1:6" ht="15" customHeight="1">
      <c r="B39" s="17"/>
      <c r="C39" s="4"/>
      <c r="D39" s="5"/>
      <c r="E39" s="5"/>
      <c r="F39" s="18"/>
    </row>
    <row r="40" spans="1:6" ht="15" customHeight="1">
      <c r="B40" s="4"/>
      <c r="C40" s="5"/>
      <c r="D40" s="5"/>
      <c r="E40" s="5"/>
    </row>
    <row r="41" spans="1:6" ht="15" customHeight="1">
      <c r="B41" s="6"/>
      <c r="C41" s="7"/>
      <c r="D41" s="7"/>
      <c r="E41" s="7"/>
    </row>
    <row r="43" spans="1:6" ht="15" customHeight="1">
      <c r="A43" s="37" t="s">
        <v>20</v>
      </c>
      <c r="B43" s="16" t="s">
        <v>24</v>
      </c>
      <c r="C43" s="16" t="s">
        <v>25</v>
      </c>
      <c r="D43" s="16" t="s">
        <v>26</v>
      </c>
      <c r="E43" s="16" t="s">
        <v>27</v>
      </c>
      <c r="F43" s="16" t="s">
        <v>28</v>
      </c>
    </row>
    <row r="44" spans="1:6" ht="15" customHeight="1">
      <c r="B44" s="32"/>
      <c r="C44" s="32"/>
      <c r="D44" s="32"/>
      <c r="E44" s="32"/>
      <c r="F44" s="38"/>
    </row>
    <row r="45" spans="1:6" ht="29.5" customHeight="1">
      <c r="A45" s="45"/>
      <c r="B45" s="29"/>
      <c r="C45" s="29"/>
      <c r="D45" s="29"/>
      <c r="E45" s="29"/>
      <c r="F45" s="29"/>
    </row>
    <row r="46" spans="1:6" ht="27" customHeight="1">
      <c r="A46" s="45"/>
      <c r="B46" s="29"/>
      <c r="C46" s="29"/>
      <c r="D46" s="29"/>
      <c r="E46" s="29"/>
      <c r="F46" s="29"/>
    </row>
    <row r="47" spans="1:6" ht="15" customHeight="1">
      <c r="A47" s="45"/>
      <c r="B47" s="29"/>
      <c r="C47" s="29"/>
      <c r="D47" s="29"/>
      <c r="E47" s="29"/>
      <c r="F47" s="29"/>
    </row>
    <row r="48" spans="1:6" ht="15" customHeight="1">
      <c r="B48" s="17"/>
      <c r="C48" s="17"/>
      <c r="D48" s="17"/>
      <c r="E48" s="17"/>
      <c r="F48" s="39">
        <f>SUM(F44:F47)</f>
        <v>0</v>
      </c>
    </row>
    <row r="49" spans="1:7" ht="15" customHeight="1">
      <c r="B49" s="17"/>
      <c r="C49" s="17"/>
      <c r="D49" s="17"/>
      <c r="E49" s="17"/>
      <c r="F49" s="7"/>
    </row>
    <row r="50" spans="1:7" ht="15" customHeight="1">
      <c r="B50" s="17"/>
      <c r="C50" s="17"/>
      <c r="D50" s="17"/>
      <c r="E50" s="17"/>
      <c r="F50" s="7"/>
    </row>
    <row r="51" spans="1:7" ht="15" customHeight="1">
      <c r="A51" s="23" t="s">
        <v>21</v>
      </c>
      <c r="B51" s="16" t="s">
        <v>24</v>
      </c>
      <c r="C51" s="16" t="s">
        <v>25</v>
      </c>
      <c r="D51" s="16" t="s">
        <v>26</v>
      </c>
      <c r="E51" s="16" t="s">
        <v>27</v>
      </c>
      <c r="F51" s="16" t="s">
        <v>28</v>
      </c>
    </row>
    <row r="52" spans="1:7" ht="15" customHeight="1">
      <c r="A52" s="45"/>
      <c r="B52" s="29" t="s">
        <v>146</v>
      </c>
      <c r="C52" s="29" t="s">
        <v>29</v>
      </c>
      <c r="D52" s="29" t="s">
        <v>147</v>
      </c>
      <c r="E52" s="29">
        <v>18</v>
      </c>
      <c r="F52" s="29">
        <v>200000</v>
      </c>
    </row>
    <row r="53" spans="1:7" ht="15" customHeight="1">
      <c r="A53" s="45"/>
      <c r="B53" s="29" t="s">
        <v>151</v>
      </c>
      <c r="C53" s="29"/>
      <c r="D53" s="29"/>
      <c r="E53" s="29"/>
      <c r="F53" s="29">
        <v>60000</v>
      </c>
    </row>
    <row r="54" spans="1:7" ht="15" customHeight="1">
      <c r="A54" s="45"/>
      <c r="B54" s="29"/>
      <c r="C54" s="29"/>
      <c r="D54" s="29"/>
      <c r="E54" s="29"/>
      <c r="F54" s="29"/>
    </row>
    <row r="55" spans="1:7" ht="15" customHeight="1">
      <c r="B55" s="6"/>
      <c r="C55" s="7"/>
      <c r="D55" s="7"/>
      <c r="E55" s="7"/>
      <c r="F55" s="18">
        <f>SUM(F52:F54)</f>
        <v>260000</v>
      </c>
    </row>
    <row r="56" spans="1:7" ht="15" customHeight="1">
      <c r="A56" s="9"/>
      <c r="B56" s="11"/>
      <c r="C56" s="12"/>
      <c r="D56" s="12"/>
      <c r="E56" s="12"/>
      <c r="F56" s="12"/>
    </row>
    <row r="57" spans="1:7" ht="15" customHeight="1">
      <c r="A57" s="34" t="s">
        <v>19</v>
      </c>
      <c r="B57" s="16" t="s">
        <v>24</v>
      </c>
      <c r="C57" s="16" t="s">
        <v>25</v>
      </c>
      <c r="D57" s="16" t="s">
        <v>26</v>
      </c>
      <c r="E57" s="16" t="s">
        <v>27</v>
      </c>
      <c r="F57" s="16" t="s">
        <v>28</v>
      </c>
      <c r="G57" s="2"/>
    </row>
    <row r="58" spans="1:7" ht="15" customHeight="1">
      <c r="B58" s="40" t="s">
        <v>30</v>
      </c>
      <c r="C58" s="40" t="s">
        <v>29</v>
      </c>
      <c r="D58" s="30"/>
      <c r="E58" s="30"/>
      <c r="F58" s="17">
        <v>26550</v>
      </c>
      <c r="G58" s="5"/>
    </row>
    <row r="59" spans="1:7" ht="15" customHeight="1">
      <c r="B59" s="6"/>
      <c r="C59" s="7"/>
      <c r="D59" s="7"/>
      <c r="E59" s="7"/>
      <c r="F59" s="18">
        <f>SUM(F58:F58)</f>
        <v>26550</v>
      </c>
    </row>
    <row r="60" spans="1:7" ht="15" customHeight="1">
      <c r="B60" s="6"/>
      <c r="C60" s="7"/>
      <c r="D60" s="7"/>
      <c r="E60" s="7"/>
      <c r="F60" s="7"/>
    </row>
    <row r="61" spans="1:7" ht="15" customHeight="1">
      <c r="A61" s="34" t="s">
        <v>8</v>
      </c>
      <c r="B61" s="16" t="s">
        <v>24</v>
      </c>
      <c r="C61" s="16" t="s">
        <v>25</v>
      </c>
      <c r="D61" s="16" t="s">
        <v>26</v>
      </c>
      <c r="E61" s="16" t="s">
        <v>27</v>
      </c>
      <c r="F61" s="16" t="s">
        <v>28</v>
      </c>
    </row>
    <row r="62" spans="1:7" ht="15" customHeight="1">
      <c r="B62" s="40"/>
      <c r="C62" s="40"/>
      <c r="D62" s="30"/>
      <c r="E62" s="20"/>
      <c r="F62" s="17"/>
      <c r="G62" s="31"/>
    </row>
    <row r="63" spans="1:7" ht="15" customHeight="1">
      <c r="B63" s="33"/>
      <c r="C63" s="30"/>
      <c r="D63" s="30"/>
      <c r="E63" s="7"/>
      <c r="F63" s="7"/>
    </row>
    <row r="65" spans="1:6" ht="15" customHeight="1">
      <c r="A65" s="34" t="s">
        <v>9</v>
      </c>
      <c r="B65" s="16" t="s">
        <v>24</v>
      </c>
      <c r="C65" s="16" t="s">
        <v>25</v>
      </c>
      <c r="D65" s="16" t="s">
        <v>26</v>
      </c>
      <c r="E65" s="16" t="s">
        <v>27</v>
      </c>
      <c r="F65" s="16" t="s">
        <v>28</v>
      </c>
    </row>
    <row r="66" spans="1:6" ht="15" customHeight="1">
      <c r="B66" s="29" t="s">
        <v>74</v>
      </c>
      <c r="C66" s="29" t="s">
        <v>29</v>
      </c>
      <c r="D66" s="29" t="s">
        <v>75</v>
      </c>
      <c r="E66" s="29" t="s">
        <v>76</v>
      </c>
      <c r="F66" s="29">
        <v>17700</v>
      </c>
    </row>
    <row r="67" spans="1:6" ht="15" customHeight="1">
      <c r="B67" s="29" t="s">
        <v>77</v>
      </c>
      <c r="C67" s="29" t="s">
        <v>29</v>
      </c>
      <c r="D67" s="29" t="s">
        <v>78</v>
      </c>
      <c r="E67" s="29" t="s">
        <v>79</v>
      </c>
      <c r="F67" s="29">
        <v>5270</v>
      </c>
    </row>
    <row r="68" spans="1:6" ht="15" customHeight="1">
      <c r="B68" s="29" t="s">
        <v>74</v>
      </c>
      <c r="C68" s="29" t="s">
        <v>29</v>
      </c>
      <c r="D68" s="29" t="s">
        <v>80</v>
      </c>
      <c r="E68" s="29" t="s">
        <v>81</v>
      </c>
      <c r="F68" s="29">
        <v>16520</v>
      </c>
    </row>
    <row r="69" spans="1:6" ht="15" customHeight="1">
      <c r="B69" s="29" t="s">
        <v>77</v>
      </c>
      <c r="C69" s="29" t="s">
        <v>29</v>
      </c>
      <c r="D69" s="29" t="s">
        <v>82</v>
      </c>
      <c r="E69" s="29" t="s">
        <v>83</v>
      </c>
      <c r="F69" s="29">
        <v>6077</v>
      </c>
    </row>
    <row r="70" spans="1:6" ht="15" customHeight="1">
      <c r="B70" s="29" t="s">
        <v>74</v>
      </c>
      <c r="C70" s="29" t="s">
        <v>29</v>
      </c>
      <c r="D70" s="29" t="s">
        <v>84</v>
      </c>
      <c r="E70" s="29" t="s">
        <v>85</v>
      </c>
      <c r="F70" s="29">
        <v>17700</v>
      </c>
    </row>
    <row r="71" spans="1:6" ht="15" customHeight="1">
      <c r="B71" s="29" t="s">
        <v>77</v>
      </c>
      <c r="C71" s="29" t="s">
        <v>29</v>
      </c>
      <c r="D71" s="29" t="s">
        <v>86</v>
      </c>
      <c r="E71" s="29" t="s">
        <v>87</v>
      </c>
      <c r="F71" s="29">
        <v>5270</v>
      </c>
    </row>
    <row r="72" spans="1:6" ht="15" customHeight="1">
      <c r="B72" s="29" t="s">
        <v>74</v>
      </c>
      <c r="C72" s="29" t="s">
        <v>29</v>
      </c>
      <c r="D72" s="29" t="s">
        <v>88</v>
      </c>
      <c r="E72" s="29" t="s">
        <v>89</v>
      </c>
      <c r="F72" s="29">
        <v>17700</v>
      </c>
    </row>
    <row r="73" spans="1:6" ht="15" customHeight="1">
      <c r="B73" s="29" t="s">
        <v>77</v>
      </c>
      <c r="C73" s="29" t="s">
        <v>29</v>
      </c>
      <c r="D73" s="29" t="s">
        <v>90</v>
      </c>
      <c r="E73" s="29" t="s">
        <v>91</v>
      </c>
      <c r="F73" s="29">
        <v>14828</v>
      </c>
    </row>
    <row r="74" spans="1:6" ht="15" customHeight="1">
      <c r="B74" s="29" t="s">
        <v>74</v>
      </c>
      <c r="C74" s="29" t="s">
        <v>29</v>
      </c>
      <c r="D74" s="29" t="s">
        <v>92</v>
      </c>
      <c r="E74" s="29" t="s">
        <v>93</v>
      </c>
      <c r="F74" s="29">
        <v>17700</v>
      </c>
    </row>
    <row r="75" spans="1:6" ht="15" customHeight="1">
      <c r="B75" s="29" t="s">
        <v>77</v>
      </c>
      <c r="C75" s="29" t="s">
        <v>29</v>
      </c>
      <c r="D75" s="29" t="s">
        <v>94</v>
      </c>
      <c r="E75" s="29" t="s">
        <v>95</v>
      </c>
      <c r="F75" s="29">
        <v>5070</v>
      </c>
    </row>
    <row r="76" spans="1:6" ht="15" customHeight="1">
      <c r="B76" s="29" t="s">
        <v>74</v>
      </c>
      <c r="C76" s="29" t="s">
        <v>29</v>
      </c>
      <c r="D76" s="29" t="s">
        <v>96</v>
      </c>
      <c r="E76" s="29" t="s">
        <v>97</v>
      </c>
      <c r="F76" s="29">
        <v>20650</v>
      </c>
    </row>
    <row r="77" spans="1:6" ht="15" customHeight="1">
      <c r="B77" s="29" t="s">
        <v>77</v>
      </c>
      <c r="C77" s="29" t="s">
        <v>29</v>
      </c>
      <c r="D77" s="29" t="s">
        <v>98</v>
      </c>
      <c r="E77" s="29" t="s">
        <v>99</v>
      </c>
      <c r="F77" s="29">
        <v>1770</v>
      </c>
    </row>
    <row r="78" spans="1:6" ht="15" customHeight="1">
      <c r="B78" s="29" t="s">
        <v>77</v>
      </c>
      <c r="C78" s="29" t="s">
        <v>29</v>
      </c>
      <c r="D78" s="29" t="s">
        <v>100</v>
      </c>
      <c r="E78" s="29" t="s">
        <v>101</v>
      </c>
      <c r="F78" s="29">
        <v>2950</v>
      </c>
    </row>
    <row r="79" spans="1:6" ht="15" customHeight="1">
      <c r="B79" s="29" t="s">
        <v>74</v>
      </c>
      <c r="C79" s="29" t="s">
        <v>29</v>
      </c>
      <c r="D79" s="29" t="s">
        <v>102</v>
      </c>
      <c r="E79" s="29" t="s">
        <v>103</v>
      </c>
      <c r="F79" s="29">
        <v>16520</v>
      </c>
    </row>
    <row r="80" spans="1:6" ht="15" customHeight="1">
      <c r="B80" s="29" t="s">
        <v>77</v>
      </c>
      <c r="C80" s="29" t="s">
        <v>29</v>
      </c>
      <c r="D80" s="29" t="s">
        <v>104</v>
      </c>
      <c r="E80" s="29" t="s">
        <v>105</v>
      </c>
      <c r="F80" s="29">
        <v>1770</v>
      </c>
    </row>
    <row r="81" spans="2:6" ht="15" customHeight="1">
      <c r="B81" s="29" t="s">
        <v>106</v>
      </c>
      <c r="C81" s="29" t="s">
        <v>29</v>
      </c>
      <c r="D81" s="29" t="s">
        <v>107</v>
      </c>
      <c r="E81" s="29" t="s">
        <v>108</v>
      </c>
      <c r="F81" s="29">
        <v>56549</v>
      </c>
    </row>
    <row r="82" spans="2:6" ht="15" customHeight="1">
      <c r="B82" s="29" t="s">
        <v>106</v>
      </c>
      <c r="C82" s="29" t="s">
        <v>29</v>
      </c>
      <c r="D82" s="29" t="s">
        <v>109</v>
      </c>
      <c r="E82" s="50" t="s">
        <v>110</v>
      </c>
      <c r="F82" s="29">
        <v>6490</v>
      </c>
    </row>
    <row r="83" spans="2:6" ht="15" customHeight="1">
      <c r="B83" s="29" t="s">
        <v>106</v>
      </c>
      <c r="C83" s="29" t="s">
        <v>29</v>
      </c>
      <c r="D83" s="29" t="s">
        <v>111</v>
      </c>
      <c r="E83" s="50" t="s">
        <v>112</v>
      </c>
      <c r="F83" s="29">
        <v>62305</v>
      </c>
    </row>
    <row r="84" spans="2:6" ht="15" customHeight="1">
      <c r="B84" s="29" t="s">
        <v>113</v>
      </c>
      <c r="C84" s="29" t="s">
        <v>29</v>
      </c>
      <c r="D84" s="29" t="s">
        <v>114</v>
      </c>
      <c r="E84" s="50" t="s">
        <v>115</v>
      </c>
      <c r="F84" s="29">
        <v>62127</v>
      </c>
    </row>
    <row r="85" spans="2:6" ht="15" customHeight="1">
      <c r="B85" s="29" t="s">
        <v>116</v>
      </c>
      <c r="C85" s="29" t="s">
        <v>29</v>
      </c>
      <c r="D85" s="29" t="s">
        <v>117</v>
      </c>
      <c r="E85" s="50" t="s">
        <v>118</v>
      </c>
      <c r="F85" s="29">
        <v>15930</v>
      </c>
    </row>
    <row r="86" spans="2:6" ht="15" customHeight="1">
      <c r="B86" s="29" t="s">
        <v>119</v>
      </c>
      <c r="C86" s="29" t="s">
        <v>29</v>
      </c>
      <c r="D86" s="29" t="s">
        <v>120</v>
      </c>
      <c r="E86" s="50" t="s">
        <v>121</v>
      </c>
      <c r="F86" s="29">
        <v>41500</v>
      </c>
    </row>
    <row r="87" spans="2:6" ht="15" customHeight="1">
      <c r="B87" s="29" t="s">
        <v>122</v>
      </c>
      <c r="C87" s="29" t="s">
        <v>29</v>
      </c>
      <c r="D87" s="29" t="s">
        <v>123</v>
      </c>
      <c r="E87" s="50">
        <v>976</v>
      </c>
      <c r="F87" s="29">
        <v>92000</v>
      </c>
    </row>
    <row r="88" spans="2:6" ht="15" customHeight="1">
      <c r="B88" s="29" t="s">
        <v>106</v>
      </c>
      <c r="C88" s="29" t="s">
        <v>29</v>
      </c>
      <c r="D88" s="29" t="s">
        <v>124</v>
      </c>
      <c r="E88" s="50" t="s">
        <v>125</v>
      </c>
      <c r="F88" s="29">
        <v>63503</v>
      </c>
    </row>
    <row r="89" spans="2:6" ht="15" customHeight="1">
      <c r="B89" s="29" t="s">
        <v>106</v>
      </c>
      <c r="C89" s="29" t="s">
        <v>29</v>
      </c>
      <c r="D89" s="29" t="s">
        <v>126</v>
      </c>
      <c r="E89" s="50" t="s">
        <v>127</v>
      </c>
      <c r="F89" s="29">
        <v>55125</v>
      </c>
    </row>
    <row r="90" spans="2:6" ht="15" customHeight="1">
      <c r="B90" s="29" t="s">
        <v>106</v>
      </c>
      <c r="C90" s="29" t="s">
        <v>29</v>
      </c>
      <c r="D90" s="29" t="s">
        <v>128</v>
      </c>
      <c r="E90" s="29" t="s">
        <v>129</v>
      </c>
      <c r="F90" s="29">
        <v>68105</v>
      </c>
    </row>
    <row r="91" spans="2:6" ht="15" customHeight="1">
      <c r="B91" s="29" t="s">
        <v>106</v>
      </c>
      <c r="C91" s="29" t="s">
        <v>29</v>
      </c>
      <c r="D91" s="29" t="s">
        <v>130</v>
      </c>
      <c r="E91" s="29" t="s">
        <v>131</v>
      </c>
      <c r="F91" s="29">
        <v>85451</v>
      </c>
    </row>
    <row r="92" spans="2:6" ht="15" customHeight="1">
      <c r="B92" s="29" t="s">
        <v>106</v>
      </c>
      <c r="C92" s="29" t="s">
        <v>29</v>
      </c>
      <c r="D92" s="29" t="s">
        <v>132</v>
      </c>
      <c r="E92" s="29" t="s">
        <v>133</v>
      </c>
      <c r="F92" s="29">
        <v>69503</v>
      </c>
    </row>
    <row r="93" spans="2:6" ht="15" customHeight="1">
      <c r="B93" s="29" t="s">
        <v>106</v>
      </c>
      <c r="C93" s="29" t="s">
        <v>29</v>
      </c>
      <c r="D93" s="29" t="s">
        <v>134</v>
      </c>
      <c r="E93" s="29" t="s">
        <v>135</v>
      </c>
      <c r="F93" s="29">
        <v>61733</v>
      </c>
    </row>
    <row r="94" spans="2:6" ht="15" customHeight="1">
      <c r="B94" s="29" t="s">
        <v>106</v>
      </c>
      <c r="C94" s="29" t="s">
        <v>29</v>
      </c>
      <c r="D94" s="29" t="s">
        <v>136</v>
      </c>
      <c r="E94" s="29" t="s">
        <v>137</v>
      </c>
      <c r="F94" s="29">
        <v>79315</v>
      </c>
    </row>
    <row r="95" spans="2:6" ht="15" customHeight="1">
      <c r="B95" s="29" t="s">
        <v>106</v>
      </c>
      <c r="C95" s="29" t="s">
        <v>29</v>
      </c>
      <c r="D95" s="29" t="s">
        <v>138</v>
      </c>
      <c r="E95" s="29" t="s">
        <v>139</v>
      </c>
      <c r="F95" s="29">
        <v>52175</v>
      </c>
    </row>
    <row r="96" spans="2:6" ht="15" customHeight="1">
      <c r="B96" s="29" t="s">
        <v>106</v>
      </c>
      <c r="C96" s="29" t="s">
        <v>29</v>
      </c>
      <c r="D96" s="29" t="s">
        <v>140</v>
      </c>
      <c r="E96" s="29" t="s">
        <v>141</v>
      </c>
      <c r="F96" s="29">
        <v>64424</v>
      </c>
    </row>
    <row r="97" spans="1:6" ht="15" customHeight="1">
      <c r="B97" s="29" t="s">
        <v>106</v>
      </c>
      <c r="C97" s="29" t="s">
        <v>29</v>
      </c>
      <c r="D97" s="29" t="s">
        <v>142</v>
      </c>
      <c r="E97" s="29" t="s">
        <v>143</v>
      </c>
      <c r="F97" s="29">
        <v>72453</v>
      </c>
    </row>
    <row r="98" spans="1:6" ht="15" customHeight="1">
      <c r="B98" s="29" t="s">
        <v>106</v>
      </c>
      <c r="C98" s="29" t="s">
        <v>29</v>
      </c>
      <c r="D98" s="29" t="s">
        <v>144</v>
      </c>
      <c r="E98" s="29" t="s">
        <v>145</v>
      </c>
      <c r="F98" s="29">
        <v>59984</v>
      </c>
    </row>
    <row r="99" spans="1:6" ht="15" customHeight="1">
      <c r="B99" s="36"/>
      <c r="C99" s="36"/>
      <c r="D99" s="36"/>
      <c r="E99" s="36"/>
      <c r="F99" s="41"/>
    </row>
    <row r="100" spans="1:6" ht="15" customHeight="1">
      <c r="B100" s="36"/>
      <c r="C100" s="36"/>
      <c r="D100" s="36"/>
      <c r="E100" s="36"/>
      <c r="F100" s="41"/>
    </row>
    <row r="101" spans="1:6" ht="15" customHeight="1">
      <c r="F101" s="42">
        <f>SUM(F66:F98)</f>
        <v>1236167</v>
      </c>
    </row>
    <row r="104" spans="1:6" ht="15" customHeight="1">
      <c r="A104" s="27" t="s">
        <v>10</v>
      </c>
    </row>
    <row r="105" spans="1:6" ht="15" customHeight="1">
      <c r="B105" s="16" t="s">
        <v>24</v>
      </c>
      <c r="C105" s="16" t="s">
        <v>25</v>
      </c>
      <c r="D105" s="16" t="s">
        <v>26</v>
      </c>
      <c r="E105" s="16" t="s">
        <v>27</v>
      </c>
      <c r="F105" s="16" t="s">
        <v>28</v>
      </c>
    </row>
    <row r="106" spans="1:6" ht="15" customHeight="1">
      <c r="A106" s="45"/>
      <c r="B106" s="29"/>
      <c r="C106" s="29"/>
      <c r="D106" s="29"/>
      <c r="E106" s="29"/>
      <c r="F106" s="29"/>
    </row>
    <row r="107" spans="1:6" ht="15" customHeight="1">
      <c r="A107" s="35"/>
      <c r="B107" s="32"/>
      <c r="C107" s="36"/>
      <c r="D107" s="36"/>
      <c r="E107" s="36"/>
      <c r="F107" s="38"/>
    </row>
    <row r="109" spans="1:6" ht="15" customHeight="1">
      <c r="F109" s="42">
        <f>SUM(F106:F108)</f>
        <v>0</v>
      </c>
    </row>
    <row r="111" spans="1:6" ht="15" customHeight="1">
      <c r="A111" s="5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August- 26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Jigar Mehta</dc:creator>
  <cp:lastModifiedBy>PLASTENE INDIA LTD</cp:lastModifiedBy>
  <dcterms:created xsi:type="dcterms:W3CDTF">2023-09-12T06:56:00Z</dcterms:created>
  <dcterms:modified xsi:type="dcterms:W3CDTF">2026-09-11T10:35:47Z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8B246818D8834F8DAF82F40287E92481_12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