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gi\Desktop\"/>
    </mc:Choice>
  </mc:AlternateContent>
  <bookViews>
    <workbookView xWindow="0" yWindow="0" windowWidth="20490" windowHeight="7755" activeTab="2"/>
  </bookViews>
  <sheets>
    <sheet name="May-2026" sheetId="1" r:id="rId1"/>
    <sheet name="June-2026" sheetId="2" r:id="rId2"/>
    <sheet name="July-2026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3" l="1"/>
  <c r="B34" i="3"/>
  <c r="B24" i="3"/>
  <c r="B17" i="3"/>
  <c r="B14" i="2" l="1"/>
  <c r="B17" i="2"/>
  <c r="B35" i="2" s="1"/>
  <c r="B36" i="2" l="1"/>
  <c r="B34" i="1" l="1"/>
  <c r="B14" i="1"/>
  <c r="B35" i="1" s="1"/>
</calcChain>
</file>

<file path=xl/sharedStrings.xml><?xml version="1.0" encoding="utf-8"?>
<sst xmlns="http://schemas.openxmlformats.org/spreadsheetml/2006/main" count="177" uniqueCount="65">
  <si>
    <t>Expense Head</t>
  </si>
  <si>
    <t>CONTRACTOR SALARY</t>
  </si>
  <si>
    <t>Gross Value</t>
  </si>
  <si>
    <t>LILI MANI CHHUAL SINGH (BKS)</t>
  </si>
  <si>
    <t>BHABESH CHHUAL SINGH</t>
  </si>
  <si>
    <t>DHARAMVEER KUMAR PASWAN</t>
  </si>
  <si>
    <t>DHARAMVEER KUMAR PASWAN (LINE C)</t>
  </si>
  <si>
    <t>DINESHBHAI KHUMABHAI DESAI</t>
  </si>
  <si>
    <t>JITENDRASINH B. ZALA</t>
  </si>
  <si>
    <t>RATAN CHANDRA SARKAR</t>
  </si>
  <si>
    <t>SUDHANSHU BARMAN</t>
  </si>
  <si>
    <t xml:space="preserve">SAHDEVSINH FATEHSINH JADEJA </t>
  </si>
  <si>
    <t>RASIDUL MONDAL</t>
  </si>
  <si>
    <t>DIVYANSHU ENTERPRISES</t>
  </si>
  <si>
    <t>Party Name</t>
  </si>
  <si>
    <t>P.F. Contribution - Employer</t>
  </si>
  <si>
    <t>Month of May 2026</t>
  </si>
  <si>
    <t>Advocate Fees Exp.</t>
  </si>
  <si>
    <t>Joshi Brothers</t>
  </si>
  <si>
    <t>Staff Welfare Exp.</t>
  </si>
  <si>
    <t>Rahul Govindram</t>
  </si>
  <si>
    <t>Freight Outward Expense (With GST)</t>
  </si>
  <si>
    <t>SHIPPING LINE</t>
  </si>
  <si>
    <t>C &amp; F Charges-Export</t>
  </si>
  <si>
    <t>Freight outward Expenses (RCM_Withinstate)</t>
  </si>
  <si>
    <t>Giriraj Tempo Service</t>
  </si>
  <si>
    <t>House Keeping Expense</t>
  </si>
  <si>
    <t>Laxman Murjibhai Lakhwana</t>
  </si>
  <si>
    <t>MEDICAL EXPENSES</t>
  </si>
  <si>
    <t>NIMAVAT HOSPITAL</t>
  </si>
  <si>
    <t>Incentive Expense - Production</t>
  </si>
  <si>
    <t>SS</t>
  </si>
  <si>
    <t>Mobile &amp; Telephone Expense</t>
  </si>
  <si>
    <t>Vihaan Telecomunication</t>
  </si>
  <si>
    <t xml:space="preserve">Laxman B </t>
  </si>
  <si>
    <t>Water Charges</t>
  </si>
  <si>
    <t>Krishna Enterprise</t>
  </si>
  <si>
    <t>FUMIGATION EXPENSES</t>
  </si>
  <si>
    <t>SENSATION PEST</t>
  </si>
  <si>
    <t>VISHWAS ENTERPRISES</t>
  </si>
  <si>
    <t>VEHICLE HIRE CHARGES</t>
  </si>
  <si>
    <t>ARVIND CHAUHAN</t>
  </si>
  <si>
    <t>WEIGHMENT CHARGES</t>
  </si>
  <si>
    <t>SHREE SHYAM WEIGH BRIDGE</t>
  </si>
  <si>
    <t>SECURITY CHARGES</t>
  </si>
  <si>
    <t>INDIAN SECURITY</t>
  </si>
  <si>
    <t>Repairs &amp; Maintenance Exp - Plant &amp; Machinery</t>
  </si>
  <si>
    <t>ACTIVE ENGINEERS</t>
  </si>
  <si>
    <t>TOTAL AMOUNT</t>
  </si>
  <si>
    <t>May-2026 Provision Sheet</t>
  </si>
  <si>
    <t>June-2026 SALARY SUMMERY/Provison Sheet approx salary</t>
  </si>
  <si>
    <t>Expenses-June-2026/Provison</t>
  </si>
  <si>
    <t>Month of June 2026</t>
  </si>
  <si>
    <t>INDIAN INSTITUE OF PACKAGING-AHMD</t>
  </si>
  <si>
    <t>Medical Expense</t>
  </si>
  <si>
    <t>Repairs &amp; Maintenance Exp - Computer &amp; Printers</t>
  </si>
  <si>
    <t>Testing Charges</t>
  </si>
  <si>
    <t>Labour Charges</t>
  </si>
  <si>
    <t>July-2026 Salary and Expense Provision Sheet</t>
  </si>
  <si>
    <t>COMPANY SALARY</t>
  </si>
  <si>
    <t>Month of July 2026</t>
  </si>
  <si>
    <t>NIMAVAT HOSPITAL/Gandhidham Jain</t>
  </si>
  <si>
    <t>Repair &amp; Maintance- Plant &amp; M/c</t>
  </si>
  <si>
    <t>Shree Krishnam Rubtech LLP</t>
  </si>
  <si>
    <t>Pareshbhai Khumabhai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</si>
</sst>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</font>
    <font>
      <i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1" xfId="0" applyFont="1" applyBorder="1" applyAlignment="1">
      <alignment vertical="center" wrapText="1"/>
    </xf>
    <xf numFmtId="3" fontId="5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5" fillId="4" borderId="1" xfId="0" applyNumberFormat="1" applyFont="1" applyFill="1" applyBorder="1" applyAlignment="1">
      <alignment vertical="center"/>
    </xf>
    <xf numFmtId="0" fontId="9" fillId="0" borderId="1" xfId="0" applyFont="1" applyBorder="1" applyAlignment="1"/>
    <xf numFmtId="0" fontId="1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vertical="center"/>
    </xf>
    <xf numFmtId="0" fontId="0" fillId="5" borderId="1" xfId="0" applyFill="1" applyBorder="1"/>
    <xf numFmtId="0" fontId="0" fillId="0" borderId="1" xfId="0" applyBorder="1" applyAlignment="1"/>
    <xf numFmtId="0" fontId="4" fillId="3" borderId="1" xfId="0" applyFont="1" applyFill="1" applyBorder="1" applyAlignment="1">
      <alignment vertical="center"/>
    </xf>
    <xf numFmtId="1" fontId="1" fillId="0" borderId="1" xfId="0" applyNumberFormat="1" applyFont="1" applyBorder="1" applyAlignment="1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/>
    <xf numFmtId="0" fontId="4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8" fillId="0" borderId="1" xfId="0" applyFont="1" applyBorder="1" applyAlignment="1"/>
    <xf numFmtId="0" fontId="11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  <xf numFmtId="1" fontId="0" fillId="0" borderId="0" xfId="0" applyNumberFormat="1"/>
    <xf numFmtId="3" fontId="5" fillId="0" borderId="1" xfId="0" applyNumberFormat="1" applyFont="1" applyFill="1" applyBorder="1" applyAlignment="1">
      <alignment horizontal="right" vertical="center"/>
    </xf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13" fillId="3" borderId="4" xfId="0" applyFont="1" applyFill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1" fontId="5" fillId="5" borderId="7" xfId="0" applyNumberFormat="1" applyFont="1" applyFill="1" applyBorder="1" applyAlignment="1">
      <alignment horizontal="right" vertical="center"/>
    </xf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L15" sqref="L15"/>
    </sheetView>
  </sheetViews>
  <sheetFormatPr defaultRowHeight="15" x14ac:dyDescent="0.25"/>
  <cols>
    <col min="1" max="1" width="39" bestFit="1" customWidth="1"/>
    <col min="2" max="2" width="11" bestFit="1" customWidth="1"/>
    <col min="3" max="3" width="31.85546875" bestFit="1" customWidth="1"/>
  </cols>
  <sheetData>
    <row r="1" spans="1:3" ht="18.75" x14ac:dyDescent="0.25">
      <c r="A1" s="28" t="s">
        <v>49</v>
      </c>
      <c r="B1" s="29"/>
      <c r="C1" s="30"/>
    </row>
    <row r="2" spans="1:3" ht="15.75" x14ac:dyDescent="0.25">
      <c r="A2" s="16" t="s">
        <v>0</v>
      </c>
      <c r="B2" s="1" t="s">
        <v>2</v>
      </c>
      <c r="C2" s="18" t="s">
        <v>1</v>
      </c>
    </row>
    <row r="3" spans="1:3" x14ac:dyDescent="0.25">
      <c r="A3" s="31" t="s">
        <v>57</v>
      </c>
      <c r="B3" s="2">
        <v>830804</v>
      </c>
      <c r="C3" s="19" t="s">
        <v>3</v>
      </c>
    </row>
    <row r="4" spans="1:3" x14ac:dyDescent="0.25">
      <c r="A4" s="31"/>
      <c r="B4" s="3">
        <v>249644</v>
      </c>
      <c r="C4" s="19" t="s">
        <v>4</v>
      </c>
    </row>
    <row r="5" spans="1:3" x14ac:dyDescent="0.25">
      <c r="A5" s="31"/>
      <c r="B5" s="3">
        <v>299619</v>
      </c>
      <c r="C5" s="7" t="s">
        <v>5</v>
      </c>
    </row>
    <row r="6" spans="1:3" x14ac:dyDescent="0.25">
      <c r="A6" s="31"/>
      <c r="B6" s="3">
        <v>2438975.85</v>
      </c>
      <c r="C6" s="7" t="s">
        <v>6</v>
      </c>
    </row>
    <row r="7" spans="1:3" x14ac:dyDescent="0.25">
      <c r="A7" s="31"/>
      <c r="B7" s="3">
        <v>891937</v>
      </c>
      <c r="C7" s="7" t="s">
        <v>7</v>
      </c>
    </row>
    <row r="8" spans="1:3" x14ac:dyDescent="0.25">
      <c r="A8" s="31"/>
      <c r="B8" s="3">
        <v>70528</v>
      </c>
      <c r="C8" s="7" t="s">
        <v>8</v>
      </c>
    </row>
    <row r="9" spans="1:3" x14ac:dyDescent="0.25">
      <c r="A9" s="31"/>
      <c r="B9" s="3">
        <v>445141</v>
      </c>
      <c r="C9" s="19" t="s">
        <v>9</v>
      </c>
    </row>
    <row r="10" spans="1:3" x14ac:dyDescent="0.25">
      <c r="A10" s="31"/>
      <c r="B10" s="3">
        <v>377115</v>
      </c>
      <c r="C10" s="19" t="s">
        <v>10</v>
      </c>
    </row>
    <row r="11" spans="1:3" x14ac:dyDescent="0.25">
      <c r="A11" s="31"/>
      <c r="B11" s="4">
        <v>1487318.25</v>
      </c>
      <c r="C11" s="7" t="s">
        <v>11</v>
      </c>
    </row>
    <row r="12" spans="1:3" hidden="1" x14ac:dyDescent="0.25">
      <c r="A12" s="31"/>
      <c r="B12" s="3">
        <v>0</v>
      </c>
      <c r="C12" s="20" t="s">
        <v>12</v>
      </c>
    </row>
    <row r="13" spans="1:3" x14ac:dyDescent="0.25">
      <c r="A13" s="31"/>
      <c r="B13" s="3">
        <v>51224</v>
      </c>
      <c r="C13" s="5" t="s">
        <v>13</v>
      </c>
    </row>
    <row r="14" spans="1:3" x14ac:dyDescent="0.25">
      <c r="A14" s="6" t="s">
        <v>48</v>
      </c>
      <c r="B14" s="2">
        <f>SUM(B3:B13)</f>
        <v>7142306.0999999996</v>
      </c>
      <c r="C14" s="5"/>
    </row>
    <row r="15" spans="1:3" x14ac:dyDescent="0.25">
      <c r="A15" s="1" t="s">
        <v>0</v>
      </c>
      <c r="B15" s="1" t="s">
        <v>2</v>
      </c>
      <c r="C15" s="1" t="s">
        <v>14</v>
      </c>
    </row>
    <row r="16" spans="1:3" x14ac:dyDescent="0.25">
      <c r="A16" s="7" t="s">
        <v>15</v>
      </c>
      <c r="B16" s="8">
        <v>33466</v>
      </c>
      <c r="C16" s="7" t="s">
        <v>16</v>
      </c>
    </row>
    <row r="17" spans="1:3" x14ac:dyDescent="0.25">
      <c r="A17" s="7" t="s">
        <v>17</v>
      </c>
      <c r="B17" s="8">
        <v>7500</v>
      </c>
      <c r="C17" s="7" t="s">
        <v>18</v>
      </c>
    </row>
    <row r="18" spans="1:3" hidden="1" x14ac:dyDescent="0.25">
      <c r="A18" s="7" t="s">
        <v>19</v>
      </c>
      <c r="B18" s="8">
        <v>0</v>
      </c>
      <c r="C18" s="7" t="s">
        <v>20</v>
      </c>
    </row>
    <row r="19" spans="1:3" x14ac:dyDescent="0.25">
      <c r="A19" s="7" t="s">
        <v>21</v>
      </c>
      <c r="B19" s="9">
        <v>908700</v>
      </c>
      <c r="C19" s="7" t="s">
        <v>22</v>
      </c>
    </row>
    <row r="20" spans="1:3" x14ac:dyDescent="0.25">
      <c r="A20" s="7" t="s">
        <v>23</v>
      </c>
      <c r="B20" s="9">
        <v>497315</v>
      </c>
      <c r="C20" s="7" t="s">
        <v>22</v>
      </c>
    </row>
    <row r="21" spans="1:3" x14ac:dyDescent="0.25">
      <c r="A21" s="7" t="s">
        <v>24</v>
      </c>
      <c r="B21" s="8">
        <v>3800</v>
      </c>
      <c r="C21" s="7" t="s">
        <v>25</v>
      </c>
    </row>
    <row r="22" spans="1:3" x14ac:dyDescent="0.25">
      <c r="A22" s="7" t="s">
        <v>26</v>
      </c>
      <c r="B22" s="8">
        <v>17600</v>
      </c>
      <c r="C22" s="7" t="s">
        <v>27</v>
      </c>
    </row>
    <row r="23" spans="1:3" hidden="1" x14ac:dyDescent="0.25">
      <c r="A23" s="7" t="s">
        <v>28</v>
      </c>
      <c r="B23" s="8">
        <v>0</v>
      </c>
      <c r="C23" s="10" t="s">
        <v>29</v>
      </c>
    </row>
    <row r="24" spans="1:3" x14ac:dyDescent="0.25">
      <c r="A24" s="7" t="s">
        <v>30</v>
      </c>
      <c r="B24" s="8">
        <v>11000</v>
      </c>
      <c r="C24" s="7" t="s">
        <v>31</v>
      </c>
    </row>
    <row r="25" spans="1:3" hidden="1" x14ac:dyDescent="0.25">
      <c r="A25" s="7" t="s">
        <v>32</v>
      </c>
      <c r="B25" s="11">
        <v>0</v>
      </c>
      <c r="C25" s="7" t="s">
        <v>33</v>
      </c>
    </row>
    <row r="26" spans="1:3" hidden="1" x14ac:dyDescent="0.25">
      <c r="A26" s="7" t="s">
        <v>24</v>
      </c>
      <c r="B26" s="11">
        <v>0</v>
      </c>
      <c r="C26" s="7" t="s">
        <v>34</v>
      </c>
    </row>
    <row r="27" spans="1:3" x14ac:dyDescent="0.25">
      <c r="A27" s="7" t="s">
        <v>35</v>
      </c>
      <c r="B27" s="11">
        <v>127490</v>
      </c>
      <c r="C27" s="7" t="s">
        <v>36</v>
      </c>
    </row>
    <row r="28" spans="1:3" hidden="1" x14ac:dyDescent="0.25">
      <c r="A28" s="7" t="s">
        <v>37</v>
      </c>
      <c r="B28" s="11">
        <v>0</v>
      </c>
      <c r="C28" s="7" t="s">
        <v>38</v>
      </c>
    </row>
    <row r="29" spans="1:3" x14ac:dyDescent="0.25">
      <c r="A29" s="7" t="s">
        <v>55</v>
      </c>
      <c r="B29" s="11">
        <v>3560</v>
      </c>
      <c r="C29" s="7" t="s">
        <v>39</v>
      </c>
    </row>
    <row r="30" spans="1:3" hidden="1" x14ac:dyDescent="0.25">
      <c r="A30" s="7" t="s">
        <v>40</v>
      </c>
      <c r="B30" s="11">
        <v>0</v>
      </c>
      <c r="C30" s="7" t="s">
        <v>41</v>
      </c>
    </row>
    <row r="31" spans="1:3" hidden="1" x14ac:dyDescent="0.25">
      <c r="A31" s="7" t="s">
        <v>42</v>
      </c>
      <c r="B31" s="11">
        <v>0</v>
      </c>
      <c r="C31" s="7" t="s">
        <v>43</v>
      </c>
    </row>
    <row r="32" spans="1:3" hidden="1" x14ac:dyDescent="0.25">
      <c r="A32" s="7" t="s">
        <v>44</v>
      </c>
      <c r="B32" s="11">
        <v>0</v>
      </c>
      <c r="C32" s="7" t="s">
        <v>45</v>
      </c>
    </row>
    <row r="33" spans="1:3" hidden="1" x14ac:dyDescent="0.25">
      <c r="A33" s="21" t="s">
        <v>46</v>
      </c>
      <c r="B33" s="11">
        <v>0</v>
      </c>
      <c r="C33" s="7" t="s">
        <v>47</v>
      </c>
    </row>
    <row r="34" spans="1:3" x14ac:dyDescent="0.25">
      <c r="A34" s="17" t="s">
        <v>48</v>
      </c>
      <c r="B34" s="14">
        <f>SUM(B16:B33)</f>
        <v>1610431</v>
      </c>
      <c r="C34" s="13" t="s">
        <v>48</v>
      </c>
    </row>
    <row r="35" spans="1:3" x14ac:dyDescent="0.25">
      <c r="B35" s="23">
        <f>+B14+B34</f>
        <v>8752737.0999999996</v>
      </c>
    </row>
  </sheetData>
  <mergeCells count="2">
    <mergeCell ref="A1:C1"/>
    <mergeCell ref="A3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A13" workbookViewId="0">
      <selection activeCell="B24" sqref="B24"/>
    </sheetView>
  </sheetViews>
  <sheetFormatPr defaultRowHeight="15" x14ac:dyDescent="0.25"/>
  <cols>
    <col min="1" max="1" width="39" customWidth="1"/>
    <col min="2" max="2" width="8.85546875" bestFit="1" customWidth="1"/>
    <col min="3" max="3" width="32" bestFit="1" customWidth="1"/>
  </cols>
  <sheetData>
    <row r="1" spans="1:3" ht="18.75" x14ac:dyDescent="0.25">
      <c r="A1" s="15" t="s">
        <v>50</v>
      </c>
      <c r="B1" s="15"/>
      <c r="C1" s="15"/>
    </row>
    <row r="2" spans="1:3" ht="25.5" x14ac:dyDescent="0.25">
      <c r="A2" s="16" t="s">
        <v>0</v>
      </c>
      <c r="B2" s="27" t="s">
        <v>2</v>
      </c>
      <c r="C2" s="18" t="s">
        <v>1</v>
      </c>
    </row>
    <row r="3" spans="1:3" x14ac:dyDescent="0.25">
      <c r="A3" s="31" t="s">
        <v>57</v>
      </c>
      <c r="B3" s="2">
        <v>922675</v>
      </c>
      <c r="C3" s="19" t="s">
        <v>3</v>
      </c>
    </row>
    <row r="4" spans="1:3" x14ac:dyDescent="0.25">
      <c r="A4" s="31"/>
      <c r="B4" s="3">
        <v>189223</v>
      </c>
      <c r="C4" s="19" t="s">
        <v>4</v>
      </c>
    </row>
    <row r="5" spans="1:3" x14ac:dyDescent="0.25">
      <c r="A5" s="31"/>
      <c r="B5" s="3">
        <v>292872</v>
      </c>
      <c r="C5" s="7" t="s">
        <v>5</v>
      </c>
    </row>
    <row r="6" spans="1:3" x14ac:dyDescent="0.25">
      <c r="A6" s="31"/>
      <c r="B6" s="3">
        <v>2125914</v>
      </c>
      <c r="C6" s="7" t="s">
        <v>6</v>
      </c>
    </row>
    <row r="7" spans="1:3" x14ac:dyDescent="0.25">
      <c r="A7" s="31"/>
      <c r="B7" s="3">
        <v>1098217</v>
      </c>
      <c r="C7" s="7" t="s">
        <v>7</v>
      </c>
    </row>
    <row r="8" spans="1:3" x14ac:dyDescent="0.25">
      <c r="A8" s="31"/>
      <c r="B8" s="3">
        <v>85675</v>
      </c>
      <c r="C8" s="7" t="s">
        <v>8</v>
      </c>
    </row>
    <row r="9" spans="1:3" x14ac:dyDescent="0.25">
      <c r="A9" s="31"/>
      <c r="B9" s="3">
        <v>556392</v>
      </c>
      <c r="C9" s="19" t="s">
        <v>9</v>
      </c>
    </row>
    <row r="10" spans="1:3" x14ac:dyDescent="0.25">
      <c r="A10" s="31"/>
      <c r="B10" s="3">
        <v>614283</v>
      </c>
      <c r="C10" s="19" t="s">
        <v>10</v>
      </c>
    </row>
    <row r="11" spans="1:3" x14ac:dyDescent="0.25">
      <c r="A11" s="31"/>
      <c r="B11" s="4">
        <v>1426910</v>
      </c>
      <c r="C11" s="7" t="s">
        <v>11</v>
      </c>
    </row>
    <row r="12" spans="1:3" x14ac:dyDescent="0.25">
      <c r="A12" s="31"/>
      <c r="B12" s="3">
        <v>227545</v>
      </c>
      <c r="C12" s="20" t="s">
        <v>12</v>
      </c>
    </row>
    <row r="13" spans="1:3" x14ac:dyDescent="0.25">
      <c r="A13" s="31"/>
      <c r="B13" s="3">
        <v>21200</v>
      </c>
      <c r="C13" s="5" t="s">
        <v>13</v>
      </c>
    </row>
    <row r="14" spans="1:3" x14ac:dyDescent="0.25">
      <c r="A14" s="6"/>
      <c r="B14" s="24">
        <f>SUM(B3:B13)</f>
        <v>7560906</v>
      </c>
      <c r="C14" s="13" t="s">
        <v>48</v>
      </c>
    </row>
    <row r="15" spans="1:3" ht="21" x14ac:dyDescent="0.25">
      <c r="A15" s="32" t="s">
        <v>51</v>
      </c>
      <c r="B15" s="33"/>
      <c r="C15" s="34"/>
    </row>
    <row r="16" spans="1:3" ht="31.5" x14ac:dyDescent="0.25">
      <c r="A16" s="16" t="s">
        <v>0</v>
      </c>
      <c r="B16" s="22" t="s">
        <v>2</v>
      </c>
      <c r="C16" s="16" t="s">
        <v>14</v>
      </c>
    </row>
    <row r="17" spans="1:3" x14ac:dyDescent="0.25">
      <c r="A17" s="7" t="s">
        <v>15</v>
      </c>
      <c r="B17" s="8">
        <f>33221+2794</f>
        <v>36015</v>
      </c>
      <c r="C17" s="7" t="s">
        <v>52</v>
      </c>
    </row>
    <row r="18" spans="1:3" x14ac:dyDescent="0.25">
      <c r="A18" s="7" t="s">
        <v>17</v>
      </c>
      <c r="B18" s="8">
        <v>7500</v>
      </c>
      <c r="C18" s="7" t="s">
        <v>18</v>
      </c>
    </row>
    <row r="19" spans="1:3" hidden="1" x14ac:dyDescent="0.25">
      <c r="A19" s="7" t="s">
        <v>19</v>
      </c>
      <c r="B19" s="8">
        <v>0</v>
      </c>
      <c r="C19" s="7" t="s">
        <v>20</v>
      </c>
    </row>
    <row r="20" spans="1:3" x14ac:dyDescent="0.25">
      <c r="A20" s="7" t="s">
        <v>21</v>
      </c>
      <c r="B20" s="9">
        <v>625000</v>
      </c>
      <c r="C20" s="7" t="s">
        <v>22</v>
      </c>
    </row>
    <row r="21" spans="1:3" x14ac:dyDescent="0.25">
      <c r="A21" s="7" t="s">
        <v>23</v>
      </c>
      <c r="B21" s="9">
        <v>225000</v>
      </c>
      <c r="C21" s="7" t="s">
        <v>22</v>
      </c>
    </row>
    <row r="22" spans="1:3" x14ac:dyDescent="0.25">
      <c r="A22" s="7" t="s">
        <v>24</v>
      </c>
      <c r="B22" s="8">
        <v>10400</v>
      </c>
      <c r="C22" s="7" t="s">
        <v>25</v>
      </c>
    </row>
    <row r="23" spans="1:3" x14ac:dyDescent="0.25">
      <c r="A23" s="7" t="s">
        <v>26</v>
      </c>
      <c r="B23" s="8">
        <v>0</v>
      </c>
      <c r="C23" s="7" t="s">
        <v>27</v>
      </c>
    </row>
    <row r="24" spans="1:3" x14ac:dyDescent="0.25">
      <c r="A24" s="7" t="s">
        <v>54</v>
      </c>
      <c r="B24" s="8">
        <v>1120</v>
      </c>
      <c r="C24" s="10" t="s">
        <v>29</v>
      </c>
    </row>
    <row r="25" spans="1:3" x14ac:dyDescent="0.25">
      <c r="A25" s="7" t="s">
        <v>30</v>
      </c>
      <c r="B25" s="8">
        <v>11000</v>
      </c>
      <c r="C25" s="7" t="s">
        <v>31</v>
      </c>
    </row>
    <row r="26" spans="1:3" x14ac:dyDescent="0.25">
      <c r="A26" s="7" t="s">
        <v>32</v>
      </c>
      <c r="B26" s="11">
        <v>10497</v>
      </c>
      <c r="C26" s="7" t="s">
        <v>33</v>
      </c>
    </row>
    <row r="27" spans="1:3" hidden="1" x14ac:dyDescent="0.25">
      <c r="A27" s="7" t="s">
        <v>24</v>
      </c>
      <c r="B27" s="11">
        <v>0</v>
      </c>
      <c r="C27" s="7" t="s">
        <v>34</v>
      </c>
    </row>
    <row r="28" spans="1:3" x14ac:dyDescent="0.25">
      <c r="A28" s="7" t="s">
        <v>35</v>
      </c>
      <c r="B28" s="11">
        <v>147200</v>
      </c>
      <c r="C28" s="7" t="s">
        <v>36</v>
      </c>
    </row>
    <row r="29" spans="1:3" hidden="1" x14ac:dyDescent="0.25">
      <c r="A29" s="7" t="s">
        <v>37</v>
      </c>
      <c r="B29" s="11">
        <v>0</v>
      </c>
      <c r="C29" s="7" t="s">
        <v>38</v>
      </c>
    </row>
    <row r="30" spans="1:3" x14ac:dyDescent="0.25">
      <c r="A30" s="7" t="s">
        <v>55</v>
      </c>
      <c r="B30" s="11">
        <v>6000</v>
      </c>
      <c r="C30" s="7" t="s">
        <v>39</v>
      </c>
    </row>
    <row r="31" spans="1:3" hidden="1" x14ac:dyDescent="0.25">
      <c r="A31" s="7" t="s">
        <v>40</v>
      </c>
      <c r="B31" s="11">
        <v>0</v>
      </c>
      <c r="C31" s="7" t="s">
        <v>41</v>
      </c>
    </row>
    <row r="32" spans="1:3" hidden="1" x14ac:dyDescent="0.25">
      <c r="A32" s="7" t="s">
        <v>42</v>
      </c>
      <c r="B32" s="11">
        <v>0</v>
      </c>
      <c r="C32" s="7" t="s">
        <v>43</v>
      </c>
    </row>
    <row r="33" spans="1:3" hidden="1" x14ac:dyDescent="0.25">
      <c r="A33" s="7" t="s">
        <v>44</v>
      </c>
      <c r="B33" s="11">
        <v>0</v>
      </c>
      <c r="C33" s="7" t="s">
        <v>45</v>
      </c>
    </row>
    <row r="34" spans="1:3" x14ac:dyDescent="0.25">
      <c r="A34" s="21" t="s">
        <v>56</v>
      </c>
      <c r="B34" s="11">
        <v>29000</v>
      </c>
      <c r="C34" s="7" t="s">
        <v>53</v>
      </c>
    </row>
    <row r="35" spans="1:3" x14ac:dyDescent="0.25">
      <c r="A35" s="12"/>
      <c r="B35" s="14">
        <f>SUM(B17:B34)</f>
        <v>1108732</v>
      </c>
      <c r="C35" s="13" t="s">
        <v>48</v>
      </c>
    </row>
    <row r="36" spans="1:3" x14ac:dyDescent="0.25">
      <c r="A36" s="25"/>
      <c r="B36" s="26">
        <f>+B14+B35</f>
        <v>8669638</v>
      </c>
      <c r="C36" s="25"/>
    </row>
  </sheetData>
  <mergeCells count="2">
    <mergeCell ref="A3:A13"/>
    <mergeCell ref="A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B34" sqref="B34"/>
    </sheetView>
  </sheetViews>
  <sheetFormatPr defaultRowHeight="15" x14ac:dyDescent="0.25"/>
  <cols>
    <col min="1" max="1" width="41" bestFit="1" customWidth="1"/>
    <col min="2" max="2" width="9" bestFit="1" customWidth="1"/>
    <col min="3" max="3" width="32" bestFit="1" customWidth="1"/>
  </cols>
  <sheetData>
    <row r="1" spans="1:3" ht="18.75" x14ac:dyDescent="0.25">
      <c r="A1" s="28" t="s">
        <v>58</v>
      </c>
      <c r="B1" s="29"/>
      <c r="C1" s="30"/>
    </row>
    <row r="2" spans="1:3" ht="38.25" x14ac:dyDescent="0.25">
      <c r="A2" s="16" t="s">
        <v>0</v>
      </c>
      <c r="B2" s="1" t="s">
        <v>2</v>
      </c>
      <c r="C2" s="18" t="s">
        <v>1</v>
      </c>
    </row>
    <row r="3" spans="1:3" x14ac:dyDescent="0.25">
      <c r="A3" s="31" t="s">
        <v>57</v>
      </c>
      <c r="B3" s="2">
        <v>958550</v>
      </c>
      <c r="C3" s="19" t="s">
        <v>3</v>
      </c>
    </row>
    <row r="4" spans="1:3" x14ac:dyDescent="0.25">
      <c r="A4" s="31"/>
      <c r="B4" s="3">
        <v>85442</v>
      </c>
      <c r="C4" s="19" t="s">
        <v>4</v>
      </c>
    </row>
    <row r="5" spans="1:3" x14ac:dyDescent="0.25">
      <c r="A5" s="31"/>
      <c r="B5" s="3">
        <v>300087</v>
      </c>
      <c r="C5" s="7" t="s">
        <v>5</v>
      </c>
    </row>
    <row r="6" spans="1:3" x14ac:dyDescent="0.25">
      <c r="A6" s="31"/>
      <c r="B6" s="3">
        <v>2055603</v>
      </c>
      <c r="C6" s="7" t="s">
        <v>6</v>
      </c>
    </row>
    <row r="7" spans="1:3" x14ac:dyDescent="0.25">
      <c r="A7" s="31"/>
      <c r="B7" s="3">
        <v>1151040</v>
      </c>
      <c r="C7" s="7" t="s">
        <v>7</v>
      </c>
    </row>
    <row r="8" spans="1:3" x14ac:dyDescent="0.25">
      <c r="A8" s="31"/>
      <c r="B8" s="3">
        <v>109307</v>
      </c>
      <c r="C8" s="7" t="s">
        <v>8</v>
      </c>
    </row>
    <row r="9" spans="1:3" x14ac:dyDescent="0.25">
      <c r="A9" s="31"/>
      <c r="B9" s="3">
        <v>800315</v>
      </c>
      <c r="C9" s="19" t="s">
        <v>9</v>
      </c>
    </row>
    <row r="10" spans="1:3" x14ac:dyDescent="0.25">
      <c r="A10" s="31"/>
      <c r="B10" s="3">
        <v>799650</v>
      </c>
      <c r="C10" s="19" t="s">
        <v>10</v>
      </c>
    </row>
    <row r="11" spans="1:3" x14ac:dyDescent="0.25">
      <c r="A11" s="31"/>
      <c r="B11" s="4">
        <v>1754987</v>
      </c>
      <c r="C11" s="7" t="s">
        <v>11</v>
      </c>
    </row>
    <row r="12" spans="1:3" x14ac:dyDescent="0.25">
      <c r="A12" s="31"/>
      <c r="B12" s="3">
        <v>548964</v>
      </c>
      <c r="C12" s="20" t="s">
        <v>12</v>
      </c>
    </row>
    <row r="13" spans="1:3" x14ac:dyDescent="0.25">
      <c r="A13" s="31"/>
      <c r="B13" s="3">
        <v>0</v>
      </c>
      <c r="C13" s="5" t="s">
        <v>13</v>
      </c>
    </row>
    <row r="14" spans="1:3" x14ac:dyDescent="0.25">
      <c r="A14" s="6"/>
      <c r="B14" s="35"/>
      <c r="C14" s="20" t="s">
        <v>59</v>
      </c>
    </row>
    <row r="15" spans="1:3" ht="18.75" x14ac:dyDescent="0.25">
      <c r="A15" s="6"/>
      <c r="B15" s="36"/>
      <c r="C15" s="37"/>
    </row>
    <row r="16" spans="1:3" ht="31.5" x14ac:dyDescent="0.25">
      <c r="A16" s="38" t="s">
        <v>0</v>
      </c>
      <c r="B16" s="38" t="s">
        <v>2</v>
      </c>
      <c r="C16" s="38" t="s">
        <v>14</v>
      </c>
    </row>
    <row r="17" spans="1:3" x14ac:dyDescent="0.25">
      <c r="A17" s="7" t="s">
        <v>15</v>
      </c>
      <c r="B17" s="8">
        <f>36500+3000</f>
        <v>39500</v>
      </c>
      <c r="C17" s="7" t="s">
        <v>60</v>
      </c>
    </row>
    <row r="18" spans="1:3" x14ac:dyDescent="0.25">
      <c r="A18" s="7" t="s">
        <v>17</v>
      </c>
      <c r="B18" s="8">
        <v>7500</v>
      </c>
      <c r="C18" s="7" t="s">
        <v>18</v>
      </c>
    </row>
    <row r="19" spans="1:3" x14ac:dyDescent="0.25">
      <c r="A19" s="7" t="s">
        <v>19</v>
      </c>
      <c r="B19" s="8">
        <v>0</v>
      </c>
      <c r="C19" s="7" t="s">
        <v>20</v>
      </c>
    </row>
    <row r="20" spans="1:3" x14ac:dyDescent="0.25">
      <c r="A20" s="7" t="s">
        <v>21</v>
      </c>
      <c r="B20" s="9">
        <v>7513740.4800000014</v>
      </c>
      <c r="C20" s="7" t="s">
        <v>22</v>
      </c>
    </row>
    <row r="21" spans="1:3" x14ac:dyDescent="0.25">
      <c r="A21" s="7" t="s">
        <v>23</v>
      </c>
      <c r="B21" s="39">
        <v>595072.37</v>
      </c>
      <c r="C21" s="7" t="s">
        <v>22</v>
      </c>
    </row>
    <row r="22" spans="1:3" x14ac:dyDescent="0.25">
      <c r="A22" s="7" t="s">
        <v>24</v>
      </c>
      <c r="B22" s="8">
        <v>12200</v>
      </c>
      <c r="C22" s="7" t="s">
        <v>25</v>
      </c>
    </row>
    <row r="23" spans="1:3" x14ac:dyDescent="0.25">
      <c r="A23" s="7" t="s">
        <v>26</v>
      </c>
      <c r="B23" s="8">
        <v>0</v>
      </c>
      <c r="C23" s="7" t="s">
        <v>27</v>
      </c>
    </row>
    <row r="24" spans="1:3" x14ac:dyDescent="0.25">
      <c r="A24" s="7" t="s">
        <v>54</v>
      </c>
      <c r="B24" s="8">
        <f>2260+13632</f>
        <v>15892</v>
      </c>
      <c r="C24" s="10" t="s">
        <v>61</v>
      </c>
    </row>
    <row r="25" spans="1:3" x14ac:dyDescent="0.25">
      <c r="A25" s="7" t="s">
        <v>30</v>
      </c>
      <c r="B25" s="8">
        <v>11000</v>
      </c>
      <c r="C25" s="7" t="s">
        <v>31</v>
      </c>
    </row>
    <row r="26" spans="1:3" x14ac:dyDescent="0.25">
      <c r="A26" s="7" t="s">
        <v>32</v>
      </c>
      <c r="B26" s="40">
        <v>3499</v>
      </c>
      <c r="C26" s="7" t="s">
        <v>33</v>
      </c>
    </row>
    <row r="27" spans="1:3" x14ac:dyDescent="0.25">
      <c r="A27" s="7" t="s">
        <v>24</v>
      </c>
      <c r="B27" s="11">
        <v>0</v>
      </c>
      <c r="C27" s="7" t="s">
        <v>34</v>
      </c>
    </row>
    <row r="28" spans="1:3" x14ac:dyDescent="0.25">
      <c r="A28" s="7" t="s">
        <v>35</v>
      </c>
      <c r="B28" s="40">
        <v>131100</v>
      </c>
      <c r="C28" s="7" t="s">
        <v>36</v>
      </c>
    </row>
    <row r="29" spans="1:3" x14ac:dyDescent="0.25">
      <c r="A29" s="7" t="s">
        <v>37</v>
      </c>
      <c r="B29" s="11">
        <v>0</v>
      </c>
      <c r="C29" s="7" t="s">
        <v>38</v>
      </c>
    </row>
    <row r="30" spans="1:3" x14ac:dyDescent="0.25">
      <c r="A30" s="7" t="s">
        <v>55</v>
      </c>
      <c r="B30" s="40">
        <v>7050</v>
      </c>
      <c r="C30" s="7" t="s">
        <v>39</v>
      </c>
    </row>
    <row r="31" spans="1:3" x14ac:dyDescent="0.25">
      <c r="A31" s="7" t="s">
        <v>40</v>
      </c>
      <c r="B31" s="11">
        <v>0</v>
      </c>
      <c r="C31" s="7" t="s">
        <v>41</v>
      </c>
    </row>
    <row r="32" spans="1:3" x14ac:dyDescent="0.25">
      <c r="A32" s="7" t="s">
        <v>42</v>
      </c>
      <c r="B32" s="11">
        <v>0</v>
      </c>
      <c r="C32" s="7" t="s">
        <v>43</v>
      </c>
    </row>
    <row r="33" spans="1:3" x14ac:dyDescent="0.25">
      <c r="A33" s="7" t="s">
        <v>44</v>
      </c>
      <c r="B33" s="11">
        <v>0</v>
      </c>
      <c r="C33" s="7" t="s">
        <v>45</v>
      </c>
    </row>
    <row r="34" spans="1:3" x14ac:dyDescent="0.25">
      <c r="A34" s="21" t="s">
        <v>56</v>
      </c>
      <c r="B34" s="40">
        <f>29000+52200</f>
        <v>81200</v>
      </c>
      <c r="C34" s="7" t="s">
        <v>53</v>
      </c>
    </row>
    <row r="35" spans="1:3" x14ac:dyDescent="0.25">
      <c r="A35" s="21" t="s">
        <v>62</v>
      </c>
      <c r="B35" s="11">
        <v>0</v>
      </c>
      <c r="C35" s="7" t="s">
        <v>63</v>
      </c>
    </row>
    <row r="36" spans="1:3" x14ac:dyDescent="0.25">
      <c r="A36" s="7" t="s">
        <v>24</v>
      </c>
      <c r="B36" s="40">
        <v>9400</v>
      </c>
      <c r="C36" s="21" t="s">
        <v>64</v>
      </c>
    </row>
    <row r="37" spans="1:3" x14ac:dyDescent="0.25">
      <c r="A37" s="12"/>
      <c r="B37" s="14">
        <f>SUM(B3:B36)</f>
        <v>16991098.850000001</v>
      </c>
      <c r="C37" s="13" t="s">
        <v>48</v>
      </c>
    </row>
  </sheetData>
  <mergeCells count="2">
    <mergeCell ref="A1:C1"/>
    <mergeCell ref="A3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May-2026</vt:lpstr>
      <vt:lpstr>June-2026</vt:lpstr>
      <vt:lpstr>July-2026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Negi</dc:creator>
  <cp:lastModifiedBy>Negi</cp:lastModifiedBy>
  <dcterms:created xsi:type="dcterms:W3CDTF">2026-08-06T06:43:09Z</dcterms:created>
  <dcterms:modified xsi:type="dcterms:W3CDTF">2026-08-10T11:40:52Z</dcterms:modified>
</cp:coreProperties>
</file>